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Rutz\Dropbox\00 - Lean Horizons Master Dropbox\03 - Intellectual Property\01 - Active\Lean Boot Camp\Lean Boot Camp\"/>
    </mc:Choice>
  </mc:AlternateContent>
  <xr:revisionPtr revIDLastSave="0" documentId="13_ncr:1_{4F488D4F-892C-46F7-8BF9-E988F6D0C1E5}" xr6:coauthVersionLast="47" xr6:coauthVersionMax="47" xr10:uidLastSave="{00000000-0000-0000-0000-000000000000}"/>
  <bookViews>
    <workbookView xWindow="-120" yWindow="-120" windowWidth="29040" windowHeight="15720" xr2:uid="{114EB82D-2206-F548-8B3D-D9AC8817B827}"/>
  </bookViews>
  <sheets>
    <sheet name="Two Day Lean Boot Camp" sheetId="2" r:id="rId1"/>
  </sheets>
  <definedNames>
    <definedName name="_xlnm.Print_Area" localSheetId="0">'Two Day Lean Boot Camp'!$B$1:$H$30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J4" i="2" s="1"/>
  <c r="I5" i="2" s="1"/>
  <c r="J5" i="2" s="1"/>
  <c r="I6" i="2" s="1"/>
  <c r="J6" i="2" s="1"/>
  <c r="I7" i="2" s="1"/>
  <c r="J7" i="2" s="1"/>
  <c r="I8" i="2" s="1"/>
  <c r="J8" i="2" s="1"/>
  <c r="I9" i="2" s="1"/>
  <c r="J9" i="2" s="1"/>
  <c r="I10" i="2" s="1"/>
  <c r="J10" i="2" s="1"/>
  <c r="I11" i="2" s="1"/>
  <c r="J11" i="2" s="1"/>
  <c r="I12" i="2" s="1"/>
  <c r="J12" i="2" s="1"/>
  <c r="I13" i="2" s="1"/>
  <c r="J13" i="2" s="1"/>
  <c r="I14" i="2" s="1"/>
  <c r="J14" i="2" s="1"/>
  <c r="I15" i="2" s="1"/>
  <c r="J15" i="2" s="1"/>
  <c r="I16" i="2" s="1"/>
  <c r="J16" i="2" s="1"/>
  <c r="I17" i="2" s="1"/>
  <c r="J17" i="2" s="1"/>
  <c r="I19" i="2"/>
  <c r="J19" i="2" s="1"/>
  <c r="I20" i="2" s="1"/>
  <c r="J20" i="2" s="1"/>
  <c r="I21" i="2" s="1"/>
  <c r="J21" i="2" s="1"/>
  <c r="I22" i="2" s="1"/>
  <c r="J22" i="2" s="1"/>
  <c r="I23" i="2" s="1"/>
  <c r="J23" i="2" s="1"/>
  <c r="I24" i="2" s="1"/>
  <c r="J24" i="2" s="1"/>
  <c r="I25" i="2" s="1"/>
  <c r="J25" i="2" s="1"/>
  <c r="I26" i="2" s="1"/>
  <c r="J26" i="2" s="1"/>
  <c r="I27" i="2" s="1"/>
  <c r="J27" i="2" s="1"/>
  <c r="I28" i="2" s="1"/>
  <c r="J28" i="2" s="1"/>
  <c r="I29" i="2" s="1"/>
  <c r="J29" i="2" s="1"/>
  <c r="I30" i="2" s="1"/>
  <c r="J30" i="2" s="1"/>
  <c r="M21" i="2"/>
  <c r="M22" i="2"/>
  <c r="M7" i="2"/>
  <c r="M8" i="2" s="1"/>
  <c r="M9" i="2" s="1"/>
  <c r="M10" i="2" s="1"/>
  <c r="M11" i="2" s="1"/>
  <c r="M12" i="2" s="1"/>
  <c r="M13" i="2" s="1"/>
  <c r="M14" i="2" s="1"/>
  <c r="M17" i="2" s="1"/>
</calcChain>
</file>

<file path=xl/sharedStrings.xml><?xml version="1.0" encoding="utf-8"?>
<sst xmlns="http://schemas.openxmlformats.org/spreadsheetml/2006/main" count="113" uniqueCount="57">
  <si>
    <t>Day #</t>
  </si>
  <si>
    <t>Topic</t>
  </si>
  <si>
    <t>Lecture</t>
  </si>
  <si>
    <t>Discussion</t>
  </si>
  <si>
    <t>Exercise</t>
  </si>
  <si>
    <t>Welcome/Introduction/Agenda Review</t>
  </si>
  <si>
    <t>l</t>
  </si>
  <si>
    <t>Reflections &amp; Next Steps</t>
  </si>
  <si>
    <t>Lunch</t>
  </si>
  <si>
    <t>+/Delta Feeback</t>
  </si>
  <si>
    <t>Review Day #1 &amp; +/Deltas</t>
  </si>
  <si>
    <t xml:space="preserve">Day # 1  </t>
  </si>
  <si>
    <t>Day #2</t>
  </si>
  <si>
    <t>Review/Discuss/Confirm Go Forward Lean Plan</t>
  </si>
  <si>
    <t>Section</t>
  </si>
  <si>
    <t>00</t>
  </si>
  <si>
    <t>01</t>
  </si>
  <si>
    <t>02</t>
  </si>
  <si>
    <t>03</t>
  </si>
  <si>
    <t>04</t>
  </si>
  <si>
    <t>05</t>
  </si>
  <si>
    <t>06</t>
  </si>
  <si>
    <t>08</t>
  </si>
  <si>
    <t>10</t>
  </si>
  <si>
    <t>11</t>
  </si>
  <si>
    <t>12</t>
  </si>
  <si>
    <t>13</t>
  </si>
  <si>
    <t>From</t>
  </si>
  <si>
    <t>To</t>
  </si>
  <si>
    <t>Estimated Time (Minutes Per Session)</t>
  </si>
  <si>
    <t>Lean Boot Camp Framework &amp; Lean Basics</t>
  </si>
  <si>
    <t>Morning Break</t>
  </si>
  <si>
    <t>Pre-Read Discussion: Decoding the DNA of the Toyota Production System</t>
  </si>
  <si>
    <t>Principles: Flow</t>
  </si>
  <si>
    <t>Principles: Problem-Solving, Standardization</t>
  </si>
  <si>
    <t>Afternoon Break</t>
  </si>
  <si>
    <t>Plan: Organizational Planning &amp; Development</t>
  </si>
  <si>
    <t>Process: Rules 3-10, LHC Problem-Solving Process, Lean Tools</t>
  </si>
  <si>
    <t>Objective Recap, Takeaways, Closing Thoughts</t>
  </si>
  <si>
    <t>Exercise: Numbers</t>
  </si>
  <si>
    <t>Exercise: Visual Management Lego</t>
  </si>
  <si>
    <t>Exercise: Flow - Pipe Cleaners</t>
  </si>
  <si>
    <t>Lean Leadership Bootcamp Agenda</t>
  </si>
  <si>
    <t>Exercise: Lean Jeopardy Review</t>
  </si>
  <si>
    <r>
      <rPr>
        <b/>
        <sz val="12"/>
        <color rgb="FF000000"/>
        <rFont val="Arial"/>
        <family val="2"/>
      </rPr>
      <t>Purpose:</t>
    </r>
    <r>
      <rPr>
        <sz val="12"/>
        <color rgb="FF000000"/>
        <rFont val="Arial"/>
        <family val="2"/>
      </rPr>
      <t xml:space="preserve"> Intentions, Lean Trilogy</t>
    </r>
  </si>
  <si>
    <r>
      <rPr>
        <b/>
        <sz val="12"/>
        <color rgb="FF000000"/>
        <rFont val="Arial"/>
        <family val="2"/>
      </rPr>
      <t>Principles:</t>
    </r>
    <r>
      <rPr>
        <sz val="12"/>
        <color rgb="FF000000"/>
        <rFont val="Arial"/>
        <family val="2"/>
      </rPr>
      <t xml:space="preserve"> Respect for People, SQDC, Pareto, JIT, Results Oriented Processes vs. MBO</t>
    </r>
  </si>
  <si>
    <r>
      <rPr>
        <b/>
        <sz val="12"/>
        <color rgb="FF000000"/>
        <rFont val="Arial"/>
        <family val="2"/>
      </rPr>
      <t>People:</t>
    </r>
    <r>
      <rPr>
        <sz val="12"/>
        <color rgb="FF000000"/>
        <rFont val="Arial"/>
        <family val="2"/>
      </rPr>
      <t xml:space="preserve"> Respect for People, Leadership, Problem-Solving, Kaizen, Employee Engagement, Deployment of Freed-Up Resources</t>
    </r>
  </si>
  <si>
    <r>
      <rPr>
        <b/>
        <sz val="12"/>
        <color rgb="FF000000"/>
        <rFont val="Arial"/>
        <family val="2"/>
      </rPr>
      <t xml:space="preserve">Plan: </t>
    </r>
    <r>
      <rPr>
        <sz val="12"/>
        <color rgb="FF000000"/>
        <rFont val="Arial"/>
        <family val="2"/>
      </rPr>
      <t>Value of Planning, STRAP, Data &amp; Analysis, Strategy Deployment, Breakthrough Thinking, Role of Leadership, Daily Management, VSM, Action Planning, Resource Collision Planning, Assessments</t>
    </r>
  </si>
  <si>
    <r>
      <rPr>
        <b/>
        <sz val="12"/>
        <color rgb="FF000000"/>
        <rFont val="Arial"/>
        <family val="2"/>
      </rPr>
      <t>Process:</t>
    </r>
    <r>
      <rPr>
        <sz val="12"/>
        <color rgb="FF000000"/>
        <rFont val="Arial"/>
        <family val="2"/>
      </rPr>
      <t xml:space="preserve"> Definition, Rules 1 &amp; 2</t>
    </r>
  </si>
  <si>
    <t>Purpose</t>
  </si>
  <si>
    <t>Principles</t>
  </si>
  <si>
    <t>People</t>
  </si>
  <si>
    <t>Plan</t>
  </si>
  <si>
    <t>Process</t>
  </si>
  <si>
    <t>Introduction</t>
  </si>
  <si>
    <t>Review</t>
  </si>
  <si>
    <t>Next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</si>
</sst>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0&quot; Mins&quot;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sz val="12"/>
      <color theme="1"/>
      <name val="Wingdings"/>
      <charset val="2"/>
    </font>
    <font>
      <sz val="12"/>
      <color rgb="FF000000"/>
      <name val="Wingdings"/>
      <charset val="2"/>
    </font>
    <font>
      <b/>
      <sz val="12"/>
      <color theme="0"/>
      <name val="Arial"/>
      <family val="2"/>
    </font>
    <font>
      <sz val="12"/>
      <name val="Arial"/>
      <family val="2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rgb="FFFFFFFF"/>
      <name val="Arial"/>
      <family val="2"/>
    </font>
    <font>
      <b/>
      <sz val="12"/>
      <color rgb="FF000000"/>
      <name val="Arial"/>
      <family val="2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FFFFFF"/>
      <name val="Arial"/>
      <family val="2"/>
    </font>
    <font>
      <b/>
      <sz val="16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C6D9F1"/>
        <bgColor indexed="64"/>
      </patternFill>
    </fill>
    <fill>
      <patternFill patternType="darkVertical"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1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theme="1"/>
      </right>
      <top style="medium">
        <color indexed="64"/>
      </top>
      <bottom/>
      <diagonal/>
    </border>
    <border>
      <left style="medium">
        <color indexed="64"/>
      </left>
      <right style="thick">
        <color theme="1"/>
      </right>
      <top/>
      <bottom/>
      <diagonal/>
    </border>
    <border>
      <left style="medium">
        <color indexed="64"/>
      </left>
      <right style="thick">
        <color theme="1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2" fillId="4" borderId="1" xfId="0" quotePrefix="1" applyFont="1" applyFill="1" applyBorder="1" applyAlignment="1" applyProtection="1">
      <alignment horizontal="left" vertical="center" wrapText="1"/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1" fillId="5" borderId="2" xfId="0" applyFont="1" applyFill="1" applyBorder="1" applyAlignment="1" applyProtection="1">
      <alignment horizontal="center" vertical="center" wrapText="1"/>
      <protection locked="0"/>
    </xf>
    <xf numFmtId="0" fontId="2" fillId="4" borderId="4" xfId="0" applyFont="1" applyFill="1" applyBorder="1" applyAlignment="1" applyProtection="1">
      <alignment horizontal="left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5" fillId="6" borderId="3" xfId="0" applyFon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6" fillId="6" borderId="3" xfId="0" applyFont="1" applyFill="1" applyBorder="1" applyAlignment="1" applyProtection="1">
      <alignment horizontal="center" vertical="center" wrapText="1"/>
      <protection locked="0"/>
    </xf>
    <xf numFmtId="0" fontId="1" fillId="5" borderId="6" xfId="0" applyFont="1" applyFill="1" applyBorder="1" applyAlignment="1" applyProtection="1">
      <alignment horizontal="center" vertical="center" wrapText="1"/>
      <protection locked="0"/>
    </xf>
    <xf numFmtId="164" fontId="1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165" fontId="2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/>
    <xf numFmtId="0" fontId="0" fillId="0" borderId="0" xfId="0" applyAlignment="1">
      <alignment horizontal="center" vertical="center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5" fillId="6" borderId="10" xfId="0" quotePrefix="1" applyFont="1" applyFill="1" applyBorder="1" applyAlignment="1" applyProtection="1">
      <alignment horizontal="center" vertical="center" wrapText="1"/>
      <protection locked="0"/>
    </xf>
    <xf numFmtId="0" fontId="15" fillId="6" borderId="5" xfId="0" quotePrefix="1" applyFont="1" applyFill="1" applyBorder="1" applyAlignment="1" applyProtection="1">
      <alignment horizontal="center" vertical="center" wrapText="1"/>
      <protection locked="0"/>
    </xf>
    <xf numFmtId="0" fontId="15" fillId="5" borderId="6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/>
    <xf numFmtId="0" fontId="15" fillId="6" borderId="11" xfId="0" quotePrefix="1" applyFont="1" applyFill="1" applyBorder="1" applyAlignment="1" applyProtection="1">
      <alignment horizontal="center" vertical="center" wrapText="1"/>
      <protection locked="0"/>
    </xf>
    <xf numFmtId="0" fontId="15" fillId="6" borderId="12" xfId="0" quotePrefix="1" applyFont="1" applyFill="1" applyBorder="1" applyAlignment="1" applyProtection="1">
      <alignment horizontal="center" vertical="center" wrapText="1"/>
      <protection locked="0"/>
    </xf>
    <xf numFmtId="0" fontId="0" fillId="0" borderId="13" xfId="0" quotePrefix="1" applyBorder="1" applyAlignment="1">
      <alignment horizontal="center" vertical="center" wrapText="1"/>
    </xf>
    <xf numFmtId="0" fontId="8" fillId="0" borderId="13" xfId="0" quotePrefix="1" applyFont="1" applyBorder="1" applyAlignment="1" applyProtection="1">
      <alignment horizontal="center" vertical="center" wrapText="1"/>
      <protection locked="0"/>
    </xf>
    <xf numFmtId="0" fontId="8" fillId="0" borderId="14" xfId="0" quotePrefix="1" applyFont="1" applyBorder="1" applyAlignment="1" applyProtection="1">
      <alignment horizontal="center" vertical="center" wrapText="1"/>
      <protection locked="0"/>
    </xf>
    <xf numFmtId="0" fontId="0" fillId="0" borderId="14" xfId="0" quotePrefix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1" fillId="5" borderId="22" xfId="0" applyFont="1" applyFill="1" applyBorder="1" applyAlignment="1" applyProtection="1">
      <alignment horizontal="center" vertical="center" wrapText="1"/>
      <protection locked="0"/>
    </xf>
    <xf numFmtId="0" fontId="1" fillId="5" borderId="23" xfId="0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 applyProtection="1">
      <alignment horizontal="center" vertical="center" wrapText="1"/>
      <protection locked="0"/>
    </xf>
    <xf numFmtId="0" fontId="16" fillId="2" borderId="15" xfId="0" applyFont="1" applyFill="1" applyBorder="1" applyAlignment="1" applyProtection="1">
      <alignment horizontal="center" vertical="center" wrapText="1"/>
      <protection locked="0"/>
    </xf>
    <xf numFmtId="0" fontId="16" fillId="2" borderId="7" xfId="0" applyFont="1" applyFill="1" applyBorder="1" applyAlignment="1" applyProtection="1">
      <alignment horizontal="center" vertical="center" wrapText="1"/>
      <protection locked="0"/>
    </xf>
    <xf numFmtId="0" fontId="17" fillId="2" borderId="7" xfId="0" applyFont="1" applyFill="1" applyBorder="1" applyAlignment="1" applyProtection="1">
      <alignment horizontal="center" vertical="center" wrapText="1"/>
      <protection locked="0"/>
    </xf>
    <xf numFmtId="0" fontId="17" fillId="2" borderId="16" xfId="0" applyFont="1" applyFill="1" applyBorder="1" applyAlignment="1" applyProtection="1">
      <alignment horizontal="center" vertical="center" wrapText="1"/>
      <protection locked="0"/>
    </xf>
    <xf numFmtId="0" fontId="17" fillId="2" borderId="8" xfId="0" applyFont="1" applyFill="1" applyBorder="1" applyAlignment="1" applyProtection="1">
      <alignment horizontal="center" vertical="center" wrapText="1"/>
      <protection locked="0"/>
    </xf>
    <xf numFmtId="0" fontId="15" fillId="6" borderId="10" xfId="0" quotePrefix="1" applyFont="1" applyFill="1" applyBorder="1" applyAlignment="1" applyProtection="1">
      <alignment horizontal="center" vertical="center" wrapText="1"/>
      <protection locked="0"/>
    </xf>
    <xf numFmtId="0" fontId="15" fillId="6" borderId="5" xfId="0" quotePrefix="1" applyFont="1" applyFill="1" applyBorder="1" applyAlignment="1" applyProtection="1">
      <alignment horizontal="center" vertical="center" wrapText="1"/>
      <protection locked="0"/>
    </xf>
    <xf numFmtId="0" fontId="15" fillId="6" borderId="11" xfId="0" quotePrefix="1" applyFont="1" applyFill="1" applyBorder="1" applyAlignment="1" applyProtection="1">
      <alignment horizontal="center" vertical="center" wrapText="1"/>
      <protection locked="0"/>
    </xf>
    <xf numFmtId="0" fontId="15" fillId="6" borderId="9" xfId="0" quotePrefix="1" applyFont="1" applyFill="1" applyBorder="1" applyAlignment="1" applyProtection="1">
      <alignment horizontal="center" vertical="center" wrapText="1"/>
      <protection locked="0"/>
    </xf>
    <xf numFmtId="0" fontId="18" fillId="3" borderId="21" xfId="0" applyFont="1" applyFill="1" applyBorder="1" applyAlignment="1" applyProtection="1">
      <alignment horizontal="center" vertical="center" wrapText="1"/>
      <protection locked="0"/>
    </xf>
    <xf numFmtId="0" fontId="18" fillId="3" borderId="18" xfId="0" applyFont="1" applyFill="1" applyBorder="1" applyAlignment="1" applyProtection="1">
      <alignment horizontal="center" vertical="center" wrapText="1"/>
      <protection locked="0"/>
    </xf>
    <xf numFmtId="0" fontId="18" fillId="3" borderId="19" xfId="0" applyFont="1" applyFill="1" applyBorder="1" applyAlignment="1" applyProtection="1">
      <alignment horizontal="center" vertical="center" wrapText="1"/>
      <protection locked="0"/>
    </xf>
    <xf numFmtId="0" fontId="18" fillId="3" borderId="2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5858-BDFC-42ED-8428-6C4A904DDD27}">
  <sheetPr>
    <pageSetUpPr fitToPage="1"/>
  </sheetPr>
  <dimension ref="A1:O31"/>
  <sheetViews>
    <sheetView showGridLines="0" tabSelected="1" zoomScale="115" zoomScaleNormal="115" workbookViewId="0">
      <selection activeCell="B3" sqref="B3:E17"/>
    </sheetView>
  </sheetViews>
  <sheetFormatPr defaultColWidth="11" defaultRowHeight="21" outlineLevelRow="1" x14ac:dyDescent="0.35"/>
  <cols>
    <col min="2" max="2" width="12.875" customWidth="1"/>
    <col min="3" max="3" width="7.375" hidden="1" customWidth="1"/>
    <col min="4" max="4" width="19.75" style="23" customWidth="1"/>
    <col min="5" max="5" width="44" customWidth="1"/>
    <col min="6" max="8" width="0" hidden="1" customWidth="1"/>
    <col min="12" max="12" width="11" style="17"/>
  </cols>
  <sheetData>
    <row r="1" spans="1:15" ht="31.5" x14ac:dyDescent="0.5">
      <c r="A1" s="1"/>
      <c r="B1" s="5" t="s">
        <v>42</v>
      </c>
      <c r="C1" s="5"/>
      <c r="D1" s="18"/>
      <c r="E1" s="1"/>
      <c r="F1" s="1"/>
      <c r="G1" s="1"/>
      <c r="H1" s="1"/>
      <c r="L1"/>
    </row>
    <row r="2" spans="1:15" ht="24" thickBot="1" x14ac:dyDescent="0.4">
      <c r="A2" s="1"/>
      <c r="B2" s="4"/>
      <c r="C2" s="4"/>
      <c r="D2" s="19"/>
      <c r="E2" s="1"/>
      <c r="F2" s="1"/>
      <c r="G2" s="1"/>
      <c r="H2" s="1"/>
      <c r="L2"/>
    </row>
    <row r="3" spans="1:15" ht="45" customHeight="1" thickBot="1" x14ac:dyDescent="0.3">
      <c r="A3" s="1"/>
      <c r="B3" s="35" t="s">
        <v>0</v>
      </c>
      <c r="C3" s="36" t="s">
        <v>14</v>
      </c>
      <c r="D3" s="36" t="s">
        <v>14</v>
      </c>
      <c r="E3" s="37" t="s">
        <v>1</v>
      </c>
      <c r="F3" s="37" t="s">
        <v>2</v>
      </c>
      <c r="G3" s="37" t="s">
        <v>3</v>
      </c>
      <c r="H3" s="38" t="s">
        <v>4</v>
      </c>
      <c r="I3" s="37" t="s">
        <v>27</v>
      </c>
      <c r="J3" s="39" t="s">
        <v>28</v>
      </c>
      <c r="K3" s="34" t="s">
        <v>29</v>
      </c>
      <c r="L3"/>
    </row>
    <row r="4" spans="1:15" ht="16.5" outlineLevel="1" thickBot="1" x14ac:dyDescent="0.3">
      <c r="A4" s="1"/>
      <c r="B4" s="45" t="s">
        <v>11</v>
      </c>
      <c r="C4" s="28" t="s">
        <v>15</v>
      </c>
      <c r="D4" s="43" t="s">
        <v>54</v>
      </c>
      <c r="E4" s="2" t="s">
        <v>5</v>
      </c>
      <c r="F4" s="8" t="s">
        <v>6</v>
      </c>
      <c r="G4" s="8"/>
      <c r="H4" s="9"/>
      <c r="I4" s="13">
        <f>TIME(8,0,0)</f>
        <v>0.33333333333333331</v>
      </c>
      <c r="J4" s="13">
        <f>I4+K4/24/60</f>
        <v>0.34027777777777773</v>
      </c>
      <c r="K4" s="15">
        <v>10</v>
      </c>
      <c r="M4" s="16"/>
    </row>
    <row r="5" spans="1:15" ht="16.5" outlineLevel="1" thickBot="1" x14ac:dyDescent="0.3">
      <c r="A5" s="1"/>
      <c r="B5" s="46"/>
      <c r="C5" s="29" t="s">
        <v>16</v>
      </c>
      <c r="D5" s="40"/>
      <c r="E5" s="2" t="s">
        <v>30</v>
      </c>
      <c r="F5" s="10" t="s">
        <v>6</v>
      </c>
      <c r="G5" s="10" t="s">
        <v>6</v>
      </c>
      <c r="H5" s="9"/>
      <c r="I5" s="13">
        <f t="shared" ref="I5:I17" si="0">J4</f>
        <v>0.34027777777777773</v>
      </c>
      <c r="J5" s="13">
        <f t="shared" ref="J5:J14" si="1">I5+K5/24/60</f>
        <v>0.34722222222222215</v>
      </c>
      <c r="K5" s="15">
        <v>10</v>
      </c>
      <c r="M5" s="16"/>
    </row>
    <row r="6" spans="1:15" ht="18" customHeight="1" outlineLevel="1" thickBot="1" x14ac:dyDescent="0.3">
      <c r="A6" s="1"/>
      <c r="B6" s="46"/>
      <c r="C6" s="29" t="s">
        <v>17</v>
      </c>
      <c r="D6" s="43" t="s">
        <v>49</v>
      </c>
      <c r="E6" s="2" t="s">
        <v>44</v>
      </c>
      <c r="F6" s="10" t="s">
        <v>6</v>
      </c>
      <c r="G6" s="10" t="s">
        <v>6</v>
      </c>
      <c r="H6" s="9"/>
      <c r="I6" s="13">
        <f t="shared" si="0"/>
        <v>0.34722222222222215</v>
      </c>
      <c r="J6" s="13">
        <f t="shared" ref="J6" si="2">I6+K6/24/60</f>
        <v>0.40972222222222215</v>
      </c>
      <c r="K6" s="15">
        <v>90</v>
      </c>
      <c r="M6" s="14"/>
    </row>
    <row r="7" spans="1:15" ht="18" customHeight="1" outlineLevel="1" thickBot="1" x14ac:dyDescent="0.3">
      <c r="A7" s="1"/>
      <c r="B7" s="46"/>
      <c r="C7" s="30"/>
      <c r="D7" s="40"/>
      <c r="E7" s="2" t="s">
        <v>31</v>
      </c>
      <c r="F7" s="10" t="s">
        <v>6</v>
      </c>
      <c r="G7" s="10" t="s">
        <v>6</v>
      </c>
      <c r="H7" s="9"/>
      <c r="I7" s="13">
        <f t="shared" si="0"/>
        <v>0.40972222222222215</v>
      </c>
      <c r="J7" s="13">
        <f t="shared" si="1"/>
        <v>0.42013888888888884</v>
      </c>
      <c r="K7" s="15">
        <v>15</v>
      </c>
      <c r="M7" s="14">
        <f t="shared" ref="M7:M14" si="3">K7+M6</f>
        <v>15</v>
      </c>
    </row>
    <row r="8" spans="1:15" ht="31.5" outlineLevel="1" thickBot="1" x14ac:dyDescent="0.3">
      <c r="A8" s="1"/>
      <c r="B8" s="46"/>
      <c r="C8" s="29" t="s">
        <v>18</v>
      </c>
      <c r="D8" s="43" t="s">
        <v>50</v>
      </c>
      <c r="E8" s="2" t="s">
        <v>45</v>
      </c>
      <c r="F8" s="10" t="s">
        <v>6</v>
      </c>
      <c r="G8" s="10" t="s">
        <v>6</v>
      </c>
      <c r="H8" s="9"/>
      <c r="I8" s="13">
        <f t="shared" si="0"/>
        <v>0.42013888888888884</v>
      </c>
      <c r="J8" s="13">
        <f t="shared" si="1"/>
        <v>0.50347222222222221</v>
      </c>
      <c r="K8" s="15">
        <v>120</v>
      </c>
      <c r="M8" s="14">
        <f t="shared" si="3"/>
        <v>135</v>
      </c>
    </row>
    <row r="9" spans="1:15" ht="18" customHeight="1" outlineLevel="1" thickBot="1" x14ac:dyDescent="0.3">
      <c r="A9" s="1"/>
      <c r="B9" s="46"/>
      <c r="C9" s="29" t="s">
        <v>19</v>
      </c>
      <c r="D9" s="42"/>
      <c r="E9" s="2" t="s">
        <v>8</v>
      </c>
      <c r="F9" s="10" t="s">
        <v>6</v>
      </c>
      <c r="G9" s="8"/>
      <c r="H9" s="11" t="s">
        <v>6</v>
      </c>
      <c r="I9" s="13">
        <f t="shared" si="0"/>
        <v>0.50347222222222221</v>
      </c>
      <c r="J9" s="13">
        <f t="shared" si="1"/>
        <v>0.54513888888888884</v>
      </c>
      <c r="K9" s="15">
        <v>60</v>
      </c>
      <c r="M9" s="14">
        <f t="shared" si="3"/>
        <v>195</v>
      </c>
    </row>
    <row r="10" spans="1:15" ht="30.75" outlineLevel="1" thickBot="1" x14ac:dyDescent="0.3">
      <c r="A10" s="1"/>
      <c r="B10" s="46"/>
      <c r="C10" s="29"/>
      <c r="D10" s="42"/>
      <c r="E10" s="2" t="s">
        <v>32</v>
      </c>
      <c r="F10" s="10"/>
      <c r="G10" s="8"/>
      <c r="H10" s="11"/>
      <c r="I10" s="13">
        <f t="shared" si="0"/>
        <v>0.54513888888888884</v>
      </c>
      <c r="J10" s="13">
        <f t="shared" si="1"/>
        <v>0.55555555555555547</v>
      </c>
      <c r="K10" s="15">
        <v>15</v>
      </c>
      <c r="M10" s="14">
        <f t="shared" si="3"/>
        <v>210</v>
      </c>
      <c r="O10" s="14">
        <v>130</v>
      </c>
    </row>
    <row r="11" spans="1:15" ht="18" customHeight="1" outlineLevel="1" thickBot="1" x14ac:dyDescent="0.3">
      <c r="A11" s="1"/>
      <c r="B11" s="46"/>
      <c r="C11" s="30"/>
      <c r="D11" s="42"/>
      <c r="E11" s="2" t="s">
        <v>33</v>
      </c>
      <c r="F11" s="10"/>
      <c r="G11" s="8"/>
      <c r="H11" s="11"/>
      <c r="I11" s="13">
        <f t="shared" si="0"/>
        <v>0.55555555555555547</v>
      </c>
      <c r="J11" s="13">
        <f t="shared" si="1"/>
        <v>0.56249999999999989</v>
      </c>
      <c r="K11" s="15">
        <v>10</v>
      </c>
      <c r="M11" s="14">
        <f t="shared" si="3"/>
        <v>220</v>
      </c>
    </row>
    <row r="12" spans="1:15" ht="18" customHeight="1" outlineLevel="1" thickBot="1" x14ac:dyDescent="0.3">
      <c r="A12" s="1"/>
      <c r="B12" s="46"/>
      <c r="C12" s="29" t="s">
        <v>20</v>
      </c>
      <c r="D12" s="42"/>
      <c r="E12" s="2" t="s">
        <v>41</v>
      </c>
      <c r="F12" s="10" t="s">
        <v>6</v>
      </c>
      <c r="G12" s="10" t="s">
        <v>6</v>
      </c>
      <c r="H12" s="9"/>
      <c r="I12" s="13">
        <f t="shared" si="0"/>
        <v>0.56249999999999989</v>
      </c>
      <c r="J12" s="13">
        <f t="shared" si="1"/>
        <v>0.60416666666666652</v>
      </c>
      <c r="K12" s="15">
        <v>60</v>
      </c>
      <c r="M12" s="14">
        <f t="shared" si="3"/>
        <v>280</v>
      </c>
    </row>
    <row r="13" spans="1:15" ht="18" customHeight="1" outlineLevel="1" thickBot="1" x14ac:dyDescent="0.3">
      <c r="A13" s="1"/>
      <c r="B13" s="46"/>
      <c r="C13" s="29" t="s">
        <v>21</v>
      </c>
      <c r="D13" s="42"/>
      <c r="E13" s="2" t="s">
        <v>34</v>
      </c>
      <c r="F13" s="10" t="s">
        <v>6</v>
      </c>
      <c r="G13" s="10" t="s">
        <v>6</v>
      </c>
      <c r="H13" s="9"/>
      <c r="I13" s="13">
        <f t="shared" si="0"/>
        <v>0.60416666666666652</v>
      </c>
      <c r="J13" s="13">
        <f t="shared" si="1"/>
        <v>0.62499999999999989</v>
      </c>
      <c r="K13" s="15">
        <v>30</v>
      </c>
      <c r="M13" s="14">
        <f t="shared" si="3"/>
        <v>310</v>
      </c>
    </row>
    <row r="14" spans="1:15" ht="18" customHeight="1" outlineLevel="1" thickBot="1" x14ac:dyDescent="0.3">
      <c r="A14" s="1"/>
      <c r="B14" s="46"/>
      <c r="C14" s="29" t="s">
        <v>22</v>
      </c>
      <c r="D14" s="42"/>
      <c r="E14" s="2" t="s">
        <v>39</v>
      </c>
      <c r="F14" s="10"/>
      <c r="G14" s="10"/>
      <c r="H14" s="9" t="s">
        <v>6</v>
      </c>
      <c r="I14" s="13">
        <f t="shared" si="0"/>
        <v>0.62499999999999989</v>
      </c>
      <c r="J14" s="13">
        <f t="shared" si="1"/>
        <v>0.63541666666666652</v>
      </c>
      <c r="K14" s="15">
        <v>15</v>
      </c>
      <c r="M14" s="14">
        <f t="shared" si="3"/>
        <v>325</v>
      </c>
    </row>
    <row r="15" spans="1:15" ht="18" customHeight="1" outlineLevel="1" thickBot="1" x14ac:dyDescent="0.3">
      <c r="A15" s="1"/>
      <c r="B15" s="46"/>
      <c r="C15" s="29"/>
      <c r="D15" s="40"/>
      <c r="E15" s="2" t="s">
        <v>35</v>
      </c>
      <c r="F15" s="10"/>
      <c r="G15" s="10"/>
      <c r="H15" s="9"/>
      <c r="I15" s="13">
        <f t="shared" si="0"/>
        <v>0.63541666666666652</v>
      </c>
      <c r="J15" s="13">
        <f t="shared" ref="J15" si="4">I15+K15/24/60</f>
        <v>0.64583333333333315</v>
      </c>
      <c r="K15" s="15">
        <v>15</v>
      </c>
      <c r="M15" s="14"/>
    </row>
    <row r="16" spans="1:15" ht="61.5" outlineLevel="1" thickBot="1" x14ac:dyDescent="0.3">
      <c r="A16" s="1"/>
      <c r="B16" s="46"/>
      <c r="C16" s="29"/>
      <c r="D16" s="21" t="s">
        <v>51</v>
      </c>
      <c r="E16" s="2" t="s">
        <v>46</v>
      </c>
      <c r="F16" s="10"/>
      <c r="G16" s="10"/>
      <c r="H16" s="9"/>
      <c r="I16" s="13">
        <f t="shared" si="0"/>
        <v>0.64583333333333315</v>
      </c>
      <c r="J16" s="13">
        <f t="shared" ref="J16" si="5">I16+K16/24/60</f>
        <v>0.68749999999999978</v>
      </c>
      <c r="K16" s="15">
        <v>60</v>
      </c>
      <c r="M16" s="14"/>
    </row>
    <row r="17" spans="1:13" ht="18" customHeight="1" outlineLevel="1" thickBot="1" x14ac:dyDescent="0.3">
      <c r="A17" s="1"/>
      <c r="B17" s="47"/>
      <c r="C17" s="29"/>
      <c r="D17" s="20" t="s">
        <v>55</v>
      </c>
      <c r="E17" s="3" t="s">
        <v>9</v>
      </c>
      <c r="F17" s="10"/>
      <c r="G17" s="10"/>
      <c r="H17" s="9"/>
      <c r="I17" s="13">
        <f t="shared" si="0"/>
        <v>0.68749999999999978</v>
      </c>
      <c r="J17" s="13">
        <f t="shared" ref="J17" si="6">I17+K17/24/60</f>
        <v>0.69791666666666641</v>
      </c>
      <c r="K17" s="15">
        <v>15</v>
      </c>
      <c r="M17" s="14">
        <f>K17+M14</f>
        <v>340</v>
      </c>
    </row>
    <row r="18" spans="1:13" ht="42" customHeight="1" outlineLevel="1" x14ac:dyDescent="0.25">
      <c r="A18" s="1"/>
      <c r="B18" s="35" t="s">
        <v>0</v>
      </c>
      <c r="C18" s="36" t="s">
        <v>14</v>
      </c>
      <c r="D18" s="36" t="s">
        <v>14</v>
      </c>
      <c r="E18" s="37" t="s">
        <v>1</v>
      </c>
      <c r="F18" s="37" t="s">
        <v>2</v>
      </c>
      <c r="G18" s="37" t="s">
        <v>3</v>
      </c>
      <c r="H18" s="38" t="s">
        <v>4</v>
      </c>
      <c r="I18" s="37" t="s">
        <v>27</v>
      </c>
      <c r="J18" s="39" t="s">
        <v>28</v>
      </c>
      <c r="K18" s="34" t="s">
        <v>29</v>
      </c>
      <c r="M18" s="14"/>
    </row>
    <row r="19" spans="1:13" ht="18" customHeight="1" outlineLevel="1" thickBot="1" x14ac:dyDescent="0.3">
      <c r="A19" s="1"/>
      <c r="B19" s="44" t="s">
        <v>12</v>
      </c>
      <c r="C19" s="31"/>
      <c r="D19" s="24" t="s">
        <v>55</v>
      </c>
      <c r="E19" s="2" t="s">
        <v>10</v>
      </c>
      <c r="F19" s="10" t="s">
        <v>6</v>
      </c>
      <c r="G19" s="10" t="s">
        <v>6</v>
      </c>
      <c r="H19" s="9" t="s">
        <v>6</v>
      </c>
      <c r="I19" s="13">
        <f>TIME(8,0,0)</f>
        <v>0.33333333333333331</v>
      </c>
      <c r="J19" s="13">
        <f>I19+K19/24/60</f>
        <v>0.34375</v>
      </c>
      <c r="K19" s="15">
        <v>15</v>
      </c>
    </row>
    <row r="20" spans="1:13" ht="76.5" outlineLevel="1" thickBot="1" x14ac:dyDescent="0.3">
      <c r="A20" s="1"/>
      <c r="B20" s="44"/>
      <c r="C20" s="31"/>
      <c r="D20" s="41" t="s">
        <v>52</v>
      </c>
      <c r="E20" s="2" t="s">
        <v>47</v>
      </c>
      <c r="F20" s="10" t="s">
        <v>6</v>
      </c>
      <c r="G20" s="10" t="s">
        <v>6</v>
      </c>
      <c r="H20" s="11" t="s">
        <v>6</v>
      </c>
      <c r="I20" s="13">
        <f t="shared" ref="I20:I30" si="7">J19</f>
        <v>0.34375</v>
      </c>
      <c r="J20" s="13">
        <f>I20+K20/24/60</f>
        <v>0.42708333333333331</v>
      </c>
      <c r="K20" s="15">
        <v>120</v>
      </c>
    </row>
    <row r="21" spans="1:13" ht="18" customHeight="1" outlineLevel="1" thickBot="1" x14ac:dyDescent="0.3">
      <c r="A21" s="1"/>
      <c r="B21" s="44"/>
      <c r="C21" s="26" t="s">
        <v>20</v>
      </c>
      <c r="D21" s="41"/>
      <c r="E21" s="2" t="s">
        <v>31</v>
      </c>
      <c r="F21" s="10" t="s">
        <v>6</v>
      </c>
      <c r="G21" s="10" t="s">
        <v>6</v>
      </c>
      <c r="H21" s="9"/>
      <c r="I21" s="13">
        <f t="shared" si="7"/>
        <v>0.42708333333333331</v>
      </c>
      <c r="J21" s="13">
        <f t="shared" ref="J21:J22" si="8">I21+K21/24/60</f>
        <v>0.4375</v>
      </c>
      <c r="K21" s="15">
        <v>15</v>
      </c>
      <c r="M21" s="14">
        <f t="shared" ref="M21" si="9">K21+M19</f>
        <v>15</v>
      </c>
    </row>
    <row r="22" spans="1:13" ht="18" customHeight="1" outlineLevel="1" thickBot="1" x14ac:dyDescent="0.3">
      <c r="A22" s="1"/>
      <c r="B22" s="44"/>
      <c r="C22" s="26" t="s">
        <v>22</v>
      </c>
      <c r="D22" s="41"/>
      <c r="E22" s="2" t="s">
        <v>36</v>
      </c>
      <c r="F22" s="10" t="s">
        <v>6</v>
      </c>
      <c r="G22" s="10" t="s">
        <v>6</v>
      </c>
      <c r="H22" s="9"/>
      <c r="I22" s="13">
        <f t="shared" si="7"/>
        <v>0.4375</v>
      </c>
      <c r="J22" s="13">
        <f t="shared" si="8"/>
        <v>0.45833333333333331</v>
      </c>
      <c r="K22" s="15">
        <v>30</v>
      </c>
      <c r="M22" s="14">
        <f t="shared" ref="M22" si="10">K22+M19</f>
        <v>30</v>
      </c>
    </row>
    <row r="23" spans="1:13" ht="18" customHeight="1" outlineLevel="1" thickBot="1" x14ac:dyDescent="0.3">
      <c r="A23" s="1"/>
      <c r="B23" s="44"/>
      <c r="C23" s="27"/>
      <c r="D23" s="40" t="s">
        <v>53</v>
      </c>
      <c r="E23" s="2" t="s">
        <v>48</v>
      </c>
      <c r="F23" s="10" t="s">
        <v>6</v>
      </c>
      <c r="G23" s="8"/>
      <c r="H23" s="11" t="s">
        <v>6</v>
      </c>
      <c r="I23" s="13">
        <f t="shared" si="7"/>
        <v>0.45833333333333331</v>
      </c>
      <c r="J23" s="13">
        <f>I23+K23/24/60</f>
        <v>0.46875</v>
      </c>
      <c r="K23" s="15">
        <v>15</v>
      </c>
    </row>
    <row r="24" spans="1:13" ht="18" customHeight="1" outlineLevel="1" thickBot="1" x14ac:dyDescent="0.3">
      <c r="A24" s="1"/>
      <c r="B24" s="44"/>
      <c r="C24" s="27" t="s">
        <v>23</v>
      </c>
      <c r="D24" s="41"/>
      <c r="E24" s="2" t="s">
        <v>40</v>
      </c>
      <c r="F24" s="10"/>
      <c r="G24" s="10"/>
      <c r="H24" s="9"/>
      <c r="I24" s="13">
        <f t="shared" si="7"/>
        <v>0.46875</v>
      </c>
      <c r="J24" s="13">
        <f t="shared" ref="J24:J29" si="11">I24+K24/24/60</f>
        <v>0.47916666666666669</v>
      </c>
      <c r="K24" s="15">
        <v>15</v>
      </c>
    </row>
    <row r="25" spans="1:13" ht="30.75" outlineLevel="1" thickBot="1" x14ac:dyDescent="0.3">
      <c r="A25" s="1"/>
      <c r="B25" s="44"/>
      <c r="C25" s="27" t="s">
        <v>24</v>
      </c>
      <c r="D25" s="41"/>
      <c r="E25" s="2" t="s">
        <v>37</v>
      </c>
      <c r="F25" s="8"/>
      <c r="G25" s="10" t="s">
        <v>6</v>
      </c>
      <c r="H25" s="11" t="s">
        <v>6</v>
      </c>
      <c r="I25" s="13">
        <f t="shared" si="7"/>
        <v>0.47916666666666669</v>
      </c>
      <c r="J25" s="13">
        <f t="shared" si="11"/>
        <v>0.51388888888888895</v>
      </c>
      <c r="K25" s="15">
        <v>50</v>
      </c>
    </row>
    <row r="26" spans="1:13" ht="18" customHeight="1" outlineLevel="1" thickBot="1" x14ac:dyDescent="0.3">
      <c r="A26" s="1"/>
      <c r="B26" s="44"/>
      <c r="C26" s="27"/>
      <c r="D26" s="41"/>
      <c r="E26" s="2" t="s">
        <v>8</v>
      </c>
      <c r="F26" s="10" t="s">
        <v>6</v>
      </c>
      <c r="G26" s="10" t="s">
        <v>6</v>
      </c>
      <c r="H26" s="11" t="s">
        <v>6</v>
      </c>
      <c r="I26" s="13">
        <f t="shared" si="7"/>
        <v>0.51388888888888895</v>
      </c>
      <c r="J26" s="13">
        <f>I26+K26/24/60</f>
        <v>0.55555555555555558</v>
      </c>
      <c r="K26" s="15">
        <v>60</v>
      </c>
    </row>
    <row r="27" spans="1:13" ht="16.5" outlineLevel="1" thickBot="1" x14ac:dyDescent="0.3">
      <c r="A27" s="1"/>
      <c r="B27" s="44"/>
      <c r="C27" s="27"/>
      <c r="D27" s="42" t="s">
        <v>55</v>
      </c>
      <c r="E27" s="2" t="s">
        <v>38</v>
      </c>
      <c r="F27" s="10"/>
      <c r="G27" s="10" t="s">
        <v>6</v>
      </c>
      <c r="H27" s="9" t="s">
        <v>6</v>
      </c>
      <c r="I27" s="13">
        <f t="shared" si="7"/>
        <v>0.55555555555555558</v>
      </c>
      <c r="J27" s="13">
        <f t="shared" si="11"/>
        <v>0.5625</v>
      </c>
      <c r="K27" s="15">
        <v>10</v>
      </c>
    </row>
    <row r="28" spans="1:13" ht="18" customHeight="1" outlineLevel="1" thickBot="1" x14ac:dyDescent="0.3">
      <c r="A28" s="1"/>
      <c r="B28" s="44"/>
      <c r="C28" s="27" t="s">
        <v>25</v>
      </c>
      <c r="D28" s="42"/>
      <c r="E28" s="2" t="s">
        <v>43</v>
      </c>
      <c r="F28" s="10" t="s">
        <v>6</v>
      </c>
      <c r="G28" s="10" t="s">
        <v>6</v>
      </c>
      <c r="H28" s="11"/>
      <c r="I28" s="13">
        <f t="shared" si="7"/>
        <v>0.5625</v>
      </c>
      <c r="J28" s="13">
        <f t="shared" si="11"/>
        <v>0.57638888888888884</v>
      </c>
      <c r="K28" s="15">
        <v>20</v>
      </c>
    </row>
    <row r="29" spans="1:13" ht="16.5" outlineLevel="1" thickBot="1" x14ac:dyDescent="0.3">
      <c r="A29" s="1"/>
      <c r="B29" s="44"/>
      <c r="C29" s="27" t="s">
        <v>26</v>
      </c>
      <c r="D29" s="40"/>
      <c r="E29" s="2" t="s">
        <v>13</v>
      </c>
      <c r="F29" s="8"/>
      <c r="G29" s="8"/>
      <c r="H29" s="11" t="s">
        <v>6</v>
      </c>
      <c r="I29" s="13">
        <f t="shared" si="7"/>
        <v>0.57638888888888884</v>
      </c>
      <c r="J29" s="13">
        <f t="shared" si="11"/>
        <v>0.61805555555555547</v>
      </c>
      <c r="K29" s="15">
        <v>60</v>
      </c>
    </row>
    <row r="30" spans="1:13" ht="42.95" customHeight="1" outlineLevel="1" thickBot="1" x14ac:dyDescent="0.3">
      <c r="A30" s="1"/>
      <c r="B30" s="44"/>
      <c r="C30" s="28"/>
      <c r="D30" s="25" t="s">
        <v>56</v>
      </c>
      <c r="E30" s="7" t="s">
        <v>7</v>
      </c>
      <c r="F30" s="8"/>
      <c r="G30" s="10" t="s">
        <v>6</v>
      </c>
      <c r="H30" s="11" t="s">
        <v>6</v>
      </c>
      <c r="I30" s="13">
        <f t="shared" si="7"/>
        <v>0.61805555555555547</v>
      </c>
      <c r="J30" s="13">
        <f>I30+K30/24/60</f>
        <v>0.6284722222222221</v>
      </c>
      <c r="K30" s="15">
        <v>15</v>
      </c>
    </row>
    <row r="31" spans="1:13" thickBot="1" x14ac:dyDescent="0.3">
      <c r="B31" s="32"/>
      <c r="C31" s="12"/>
      <c r="D31" s="22"/>
      <c r="E31" s="6"/>
      <c r="F31" s="6"/>
      <c r="G31" s="6"/>
      <c r="H31" s="6"/>
      <c r="I31" s="6"/>
      <c r="J31" s="6"/>
      <c r="K31" s="33"/>
    </row>
  </sheetData>
  <mergeCells count="8">
    <mergeCell ref="D23:D26"/>
    <mergeCell ref="D27:D29"/>
    <mergeCell ref="D4:D5"/>
    <mergeCell ref="B19:B30"/>
    <mergeCell ref="B4:B17"/>
    <mergeCell ref="D6:D7"/>
    <mergeCell ref="D8:D15"/>
    <mergeCell ref="D20:D22"/>
  </mergeCells>
  <pageMargins left="0.7" right="0.7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Two Day Lean Boot Camp</vt:lpstr>
      <vt:lpstr>'Two Day Lean Boot Camp'!Print_Area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DeLuzio</dc:creator>
  <cp:lastModifiedBy>Joe Rutz</cp:lastModifiedBy>
  <cp:lastPrinted>2020-08-17T23:38:16Z</cp:lastPrinted>
  <dcterms:created xsi:type="dcterms:W3CDTF">2020-08-17T20:54:43Z</dcterms:created>
  <dcterms:modified xsi:type="dcterms:W3CDTF">2025-09-30T14:40:15Z</dcterms:modified>
</cp:coreProperties>
</file>