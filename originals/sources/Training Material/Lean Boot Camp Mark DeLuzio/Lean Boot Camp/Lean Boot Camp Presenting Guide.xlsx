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cott\Dropbox\Lean Horizons\IP\Under Development\Lean Boot Camp\Lean Boot Camp IP\"/>
    </mc:Choice>
  </mc:AlternateContent>
  <xr:revisionPtr revIDLastSave="0" documentId="13_ncr:1_{44F081CD-0568-4707-BB24-B3ABD32D72A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3" i="1" l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82" i="1"/>
  <c r="D58" i="1" a="1"/>
  <c r="D58" i="1" s="1"/>
  <c r="I149" i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/>
  <c r="D92" i="1" a="1"/>
  <c r="D92" i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/>
  <c r="D99" i="1" a="1"/>
  <c r="D99" i="1" s="1"/>
  <c r="D100" i="1" a="1"/>
  <c r="D100" i="1" s="1"/>
  <c r="D101" i="1" a="1"/>
  <c r="D101" i="1" s="1"/>
  <c r="D102" i="1" a="1"/>
  <c r="D102" i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/>
  <c r="D119" i="1" a="1"/>
  <c r="D119" i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/>
  <c r="D127" i="1" a="1"/>
  <c r="D127" i="1" s="1"/>
  <c r="D128" i="1" a="1"/>
  <c r="D128" i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/>
  <c r="D135" i="1" a="1"/>
  <c r="D135" i="1" s="1"/>
  <c r="D136" i="1" a="1"/>
  <c r="D136" i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83" i="1" a="1"/>
  <c r="D83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/>
  <c r="D18" i="1" a="1"/>
  <c r="D18" i="1" s="1"/>
  <c r="D19" i="1" a="1"/>
  <c r="D19" i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/>
  <c r="D46" i="1" a="1"/>
  <c r="D46" i="1" s="1"/>
  <c r="D47" i="1" a="1"/>
  <c r="D47" i="1" s="1"/>
  <c r="D48" i="1" a="1"/>
  <c r="D48" i="1" s="1"/>
  <c r="D49" i="1" a="1"/>
  <c r="D49" i="1" s="1"/>
  <c r="D50" i="1" a="1"/>
  <c r="D50" i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9" i="1" a="1"/>
  <c r="D59" i="1" s="1"/>
  <c r="D60" i="1" a="1"/>
  <c r="D60" i="1" s="1"/>
  <c r="D61" i="1" a="1"/>
  <c r="D61" i="1"/>
  <c r="D62" i="1" a="1"/>
  <c r="D62" i="1" s="1"/>
  <c r="D63" i="1" a="1"/>
  <c r="D63" i="1"/>
  <c r="D64" i="1" a="1"/>
  <c r="D64" i="1" s="1"/>
  <c r="D65" i="1" a="1"/>
  <c r="D65" i="1"/>
  <c r="D66" i="1" a="1"/>
  <c r="D66" i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/>
  <c r="D75" i="1" a="1"/>
  <c r="D75" i="1" s="1"/>
  <c r="D76" i="1" a="1"/>
  <c r="D76" i="1" s="1"/>
  <c r="D77" i="1" a="1"/>
  <c r="D77" i="1" s="1"/>
  <c r="D78" i="1" a="1"/>
  <c r="D78" i="1" s="1"/>
  <c r="D79" i="1" a="1"/>
  <c r="D79" i="1"/>
  <c r="D82" i="1" a="1"/>
  <c r="D82" i="1" s="1"/>
  <c r="D5" i="1" a="1"/>
  <c r="D5" i="1" s="1"/>
  <c r="L5" i="1" s="1"/>
  <c r="H149" i="1"/>
  <c r="G149" i="1"/>
  <c r="F149" i="1"/>
  <c r="E149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9" i="1" s="1"/>
  <c r="B50" i="1" s="1"/>
  <c r="B51" i="1" s="1"/>
  <c r="B52" i="1" s="1"/>
  <c r="B53" i="1" s="1"/>
  <c r="D149" i="1" l="1"/>
  <c r="J13" i="1"/>
  <c r="J27" i="1"/>
  <c r="J112" i="1"/>
  <c r="J127" i="1"/>
  <c r="B54" i="1"/>
  <c r="B55" i="1" s="1"/>
  <c r="B56" i="1" s="1"/>
  <c r="B57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J73" i="1"/>
  <c r="J61" i="1"/>
  <c r="J5" i="1"/>
  <c r="B58" i="1" l="1"/>
  <c r="B59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4" i="1" s="1"/>
  <c r="L60" i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B135" i="1" l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<sst xmlns="http://schemas.openxmlformats.org/spreadsheetml/2006/main" count="271" uniqueCount="119">
  <si>
    <t>Slide #</t>
  </si>
  <si>
    <t>Breakout Discussion</t>
  </si>
  <si>
    <t>Group Discussion</t>
  </si>
  <si>
    <t>Slide Title</t>
  </si>
  <si>
    <t>Other Modules In This Series:</t>
  </si>
  <si>
    <t>Ground Rules for Event</t>
  </si>
  <si>
    <t>Objectives</t>
  </si>
  <si>
    <t>The Five P’s and Profitable Growth</t>
  </si>
  <si>
    <t>Lean Boot Camp Framework</t>
  </si>
  <si>
    <t>TPS House – Lean Basics</t>
  </si>
  <si>
    <t>Purpose</t>
  </si>
  <si>
    <t>Your Intentions</t>
  </si>
  <si>
    <t>Lean Trilogy</t>
  </si>
  <si>
    <t>Lean Trilogy: Employees</t>
  </si>
  <si>
    <t>Lean Trilogy: Customers</t>
  </si>
  <si>
    <t>Lean Trilogy: Shareholders</t>
  </si>
  <si>
    <t>Contribution to Society &amp; Environment</t>
  </si>
  <si>
    <t>Purpose - Recap</t>
  </si>
  <si>
    <t>Principles</t>
  </si>
  <si>
    <t>Respect for People Principle</t>
  </si>
  <si>
    <t>Continuous Improvement and Respect for People</t>
  </si>
  <si>
    <t>Safety, Quality, Delivery, Cost (SQDC) Hierarchy</t>
  </si>
  <si>
    <t>SQDC – Would you…?</t>
  </si>
  <si>
    <t>Fact-Based Management</t>
  </si>
  <si>
    <t>Pareto Principle</t>
  </si>
  <si>
    <t>Pareto Principle – Restaurant Example</t>
  </si>
  <si>
    <t>Just In Time (JIT)</t>
  </si>
  <si>
    <t>Results-Oriented Processes</t>
  </si>
  <si>
    <t>Results-Oriented Processes vs. MBO</t>
  </si>
  <si>
    <t>Flow First, Pull Where You Can’t, Never Push</t>
  </si>
  <si>
    <t>One-Piece Flow</t>
  </si>
  <si>
    <t>Problem-Solving Mindset</t>
  </si>
  <si>
    <t>Standardization</t>
  </si>
  <si>
    <t>There Can Be No Improvement Without a Standard</t>
  </si>
  <si>
    <t xml:space="preserve">Standardization </t>
  </si>
  <si>
    <t>People</t>
  </si>
  <si>
    <t>Respect for People</t>
  </si>
  <si>
    <t>People Appreciate, Machines Depreciate</t>
  </si>
  <si>
    <t>Leadership is not a Spectator Sport</t>
  </si>
  <si>
    <t>Leader Standard Work Example</t>
  </si>
  <si>
    <t>Problem-Solving at Lowest Level Possible, Highest Level Necessary</t>
  </si>
  <si>
    <t>Experts: Those Doing the Work</t>
  </si>
  <si>
    <t>Engagement Through Kaizen</t>
  </si>
  <si>
    <t>Employee Engagement</t>
  </si>
  <si>
    <t>Deployment Options for Freed-Up Resources</t>
  </si>
  <si>
    <t>Plan</t>
  </si>
  <si>
    <t>The Value of Planning</t>
  </si>
  <si>
    <t>Strategic Planning (STRAP)</t>
  </si>
  <si>
    <t>Strategic Planning Roadmap</t>
  </si>
  <si>
    <t>Major Strategic Plan Components</t>
  </si>
  <si>
    <t>Supporting Data and Analysis</t>
  </si>
  <si>
    <t>Strategy Deployment</t>
  </si>
  <si>
    <t>7 Phases of the Strategy Deployment Process Based on the Deming Cycle - PDCA</t>
  </si>
  <si>
    <t>Breakthrough Thinking</t>
  </si>
  <si>
    <t>Breakthrough Examples</t>
  </si>
  <si>
    <t>The Role of Leadership in a Strategy Deployment Environment</t>
  </si>
  <si>
    <t>The Forms of Strategy Deployment</t>
  </si>
  <si>
    <t>Budgets and Strategy Deployment</t>
  </si>
  <si>
    <t>The Complexion of Strategy Deployment</t>
  </si>
  <si>
    <t>Daily Management vs. Strategic Deployment</t>
  </si>
  <si>
    <t>Value Stream Mapping Process</t>
  </si>
  <si>
    <t>Value Stream Planning</t>
  </si>
  <si>
    <t>Completed Value Stream Plan</t>
  </si>
  <si>
    <t>Site Plan</t>
  </si>
  <si>
    <t>Action Planning</t>
  </si>
  <si>
    <t>Possible Action Plan Uses</t>
  </si>
  <si>
    <t>How to Use Action Planning</t>
  </si>
  <si>
    <t>Resource Collision Planning</t>
  </si>
  <si>
    <t>Assessment Roadmap</t>
  </si>
  <si>
    <t>Sample Slides from a Lean Assessment</t>
  </si>
  <si>
    <t>Organizational Planning &amp; Development</t>
  </si>
  <si>
    <t>Process</t>
  </si>
  <si>
    <t>Process Defined</t>
  </si>
  <si>
    <t>Process Rule #1</t>
  </si>
  <si>
    <t>Process Rule #2</t>
  </si>
  <si>
    <t>Process Rule #3</t>
  </si>
  <si>
    <t>Process Rule #4</t>
  </si>
  <si>
    <t>Process Rule #5</t>
  </si>
  <si>
    <t>Process Rule #6</t>
  </si>
  <si>
    <t>Process Rule #7</t>
  </si>
  <si>
    <t>Process Rule #8</t>
  </si>
  <si>
    <t>Process Rule #9</t>
  </si>
  <si>
    <t>Process Rule #10</t>
  </si>
  <si>
    <t>Closing Thought #1</t>
  </si>
  <si>
    <t>Closing Thought #2</t>
  </si>
  <si>
    <t>Lean Tools</t>
  </si>
  <si>
    <t>LHC Problem-Solving Process</t>
  </si>
  <si>
    <t>Assessment Topics - Fishbone</t>
  </si>
  <si>
    <t>Lean Boot Camp</t>
  </si>
  <si>
    <t>Copyright Info</t>
  </si>
  <si>
    <t>Assessment Agenda</t>
  </si>
  <si>
    <t>Assessment Project Prioritization Matrix</t>
  </si>
  <si>
    <t>MATERIALS - FLOW vs. Unlinked Processes (Push vs. Pull)</t>
  </si>
  <si>
    <t>Assessment Financial Opportunities</t>
  </si>
  <si>
    <t>l</t>
  </si>
  <si>
    <t>Assessments: Where We Are -&gt; Where We’re Going</t>
  </si>
  <si>
    <t>Supplemental / Appendix</t>
  </si>
  <si>
    <t>Total</t>
  </si>
  <si>
    <t>Presenting Time</t>
  </si>
  <si>
    <t>Avg Time:</t>
  </si>
  <si>
    <t>Lean Boot Camp Presenting Guide</t>
  </si>
  <si>
    <t>Present Only</t>
  </si>
  <si>
    <t>Strategy Deployment: Must be Deployed on a Cross Functional Basis</t>
  </si>
  <si>
    <t>Visual Management Lego Exercise</t>
  </si>
  <si>
    <t>Flow Exercise - Pipe Cleaner</t>
  </si>
  <si>
    <t>Lunch</t>
  </si>
  <si>
    <t>Jeopardy Game</t>
  </si>
  <si>
    <t>Decoding the DNA of the Toyota Production System</t>
  </si>
  <si>
    <t>Morning Break</t>
  </si>
  <si>
    <t>Afternoon Break</t>
  </si>
  <si>
    <t>End Day 1</t>
  </si>
  <si>
    <t>Begin Day 2</t>
  </si>
  <si>
    <t>Day 1 Start Time:</t>
  </si>
  <si>
    <t>Day 2 Start Time:</t>
  </si>
  <si>
    <t>Objective (Recap)</t>
  </si>
  <si>
    <t>Takeaways</t>
  </si>
  <si>
    <t>Closing Thought</t>
  </si>
  <si>
    <t>Breaks / Exercises</t>
  </si>
  <si>
    <t>Numbers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</si>
</sst>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Roboto"/>
      <family val="2"/>
      <scheme val="minor"/>
    </font>
    <font>
      <b/>
      <sz val="11"/>
      <color theme="1"/>
      <name val="Roboto"/>
      <family val="2"/>
      <scheme val="minor"/>
    </font>
    <font>
      <sz val="11"/>
      <color theme="0"/>
      <name val="Roboto"/>
      <family val="2"/>
      <scheme val="minor"/>
    </font>
    <font>
      <sz val="11"/>
      <color theme="1"/>
      <name val="Wingdings"/>
      <charset val="2"/>
    </font>
    <font>
      <b/>
      <sz val="11"/>
      <color theme="1"/>
      <name val="Roboto"/>
      <scheme val="minor"/>
    </font>
    <font>
      <b/>
      <sz val="18"/>
      <color theme="1"/>
      <name val="Roboto"/>
      <scheme val="minor"/>
    </font>
    <font>
      <sz val="8"/>
      <name val="Roboto"/>
      <family val="2"/>
      <scheme val="minor"/>
    </font>
    <font>
      <b/>
      <sz val="11"/>
      <color theme="0"/>
      <name val="Roboto"/>
      <family val="2"/>
      <scheme val="minor"/>
    </font>
    <font>
      <sz val="11"/>
      <color theme="1"/>
      <name val="Roboto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3" xfId="0" applyFont="1" applyBorder="1" applyAlignment="1">
      <alignment horizontal="center" vertical="center"/>
    </xf>
    <xf numFmtId="0" fontId="0" fillId="0" borderId="4" xfId="0" applyBorder="1"/>
    <xf numFmtId="0" fontId="1" fillId="0" borderId="0" xfId="0" applyFont="1" applyAlignment="1">
      <alignment horizontal="center" vertical="center" wrapText="1"/>
    </xf>
    <xf numFmtId="0" fontId="0" fillId="0" borderId="2" xfId="0" applyBorder="1"/>
    <xf numFmtId="0" fontId="4" fillId="0" borderId="1" xfId="0" applyFont="1" applyBorder="1"/>
    <xf numFmtId="0" fontId="4" fillId="0" borderId="0" xfId="0" applyFont="1" applyAlignment="1">
      <alignment horizontal="left" indent="1"/>
    </xf>
    <xf numFmtId="21" fontId="0" fillId="0" borderId="0" xfId="0" applyNumberFormat="1" applyAlignment="1">
      <alignment horizontal="center" vertical="center"/>
    </xf>
    <xf numFmtId="21" fontId="2" fillId="2" borderId="1" xfId="0" applyNumberFormat="1" applyFont="1" applyFill="1" applyBorder="1" applyAlignment="1">
      <alignment horizontal="center" vertical="center"/>
    </xf>
    <xf numFmtId="21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 applyAlignment="1">
      <alignment horizontal="left"/>
    </xf>
    <xf numFmtId="46" fontId="4" fillId="0" borderId="0" xfId="0" applyNumberFormat="1" applyFont="1"/>
    <xf numFmtId="18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21" fontId="0" fillId="0" borderId="8" xfId="0" applyNumberFormat="1" applyBorder="1" applyAlignment="1">
      <alignment horizontal="center" vertical="center"/>
    </xf>
    <xf numFmtId="0" fontId="7" fillId="3" borderId="0" xfId="0" applyFont="1" applyFill="1" applyAlignment="1">
      <alignment horizontal="left"/>
    </xf>
  </cellXfs>
  <cellStyles count="1">
    <cellStyle name="Normal" xfId="0" builtinId="0"/>
  </cellStyles>
  <dxfs count="11">
    <dxf>
      <font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alignment horizontal="center" vertical="center" textRotation="0" wrapText="0" indent="0" justifyLastLine="0" shrinkToFit="0" readingOrder="0"/>
    </dxf>
    <dxf>
      <numFmt numFmtId="26" formatCode="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FCC33-A943-49B0-AF1D-5C09CE2B28CA}" name="Table1" displayName="Table1" ref="B4:I149" totalsRowShown="0" headerRowDxfId="10" dataDxfId="9" tableBorderDxfId="8">
  <autoFilter ref="B4:I149" xr:uid="{572FCC33-A943-49B0-AF1D-5C09CE2B28CA}"/>
  <tableColumns count="8">
    <tableColumn id="1" xr3:uid="{8F489957-67B1-4B32-86C1-EB5DC1C1EF2B}" name="Slide #" dataDxfId="7"/>
    <tableColumn id="2" xr3:uid="{65806931-35C6-4FDB-B878-52D939803D0E}" name="Slide Title"/>
    <tableColumn id="3" xr3:uid="{BD09724F-BBBD-4BB2-A2E1-5D1DE8C82E78}" name="Presenting Time" dataDxfId="6"/>
    <tableColumn id="4" xr3:uid="{658DF7B1-3651-4FA5-A1C2-7B0AFEA95834}" name="Present Only" dataDxfId="5"/>
    <tableColumn id="5" xr3:uid="{1621CA9E-F03C-406B-86A2-951342C60279}" name="Breakout Discussion" dataDxfId="4"/>
    <tableColumn id="6" xr3:uid="{788FB4D0-9885-44A7-A5AA-0260B429E2BB}" name="Group Discussion" dataDxfId="3"/>
    <tableColumn id="7" xr3:uid="{DD2AFBC6-9FC7-43C4-B038-3D946F4DEA2D}" name="Supplemental / Appendix" dataDxfId="2"/>
    <tableColumn id="8" xr3:uid="{85CDB172-CC6C-42D9-AAD5-8B38C2D61217}" name="Breaks / Exercises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LHC2024">
  <a:themeElements>
    <a:clrScheme name="LHC">
      <a:dk1>
        <a:srgbClr val="000000"/>
      </a:dk1>
      <a:lt1>
        <a:sysClr val="window" lastClr="FFFFFF"/>
      </a:lt1>
      <a:dk2>
        <a:srgbClr val="44546A"/>
      </a:dk2>
      <a:lt2>
        <a:srgbClr val="E7E6E6"/>
      </a:lt2>
      <a:accent1>
        <a:srgbClr val="EE3228"/>
      </a:accent1>
      <a:accent2>
        <a:srgbClr val="FDCA40"/>
      </a:accent2>
      <a:accent3>
        <a:srgbClr val="939598"/>
      </a:accent3>
      <a:accent4>
        <a:srgbClr val="76939F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LHC">
      <a:majorFont>
        <a:latin typeface="Roboto Medium"/>
        <a:ea typeface=""/>
        <a:cs typeface=""/>
      </a:majorFont>
      <a:minorFont>
        <a:latin typeface="Robo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49"/>
  <sheetViews>
    <sheetView tabSelected="1" workbookViewId="0">
      <pane ySplit="4" topLeftCell="A77" activePane="bottomLeft" state="frozen"/>
      <selection pane="bottomLeft" activeCell="L138" sqref="L138"/>
    </sheetView>
  </sheetViews>
  <sheetFormatPr defaultRowHeight="15" x14ac:dyDescent="0.25"/>
  <cols>
    <col min="3" max="3" width="70.75" bestFit="1" customWidth="1"/>
    <col min="4" max="4" width="12.5" bestFit="1" customWidth="1"/>
    <col min="5" max="5" width="11" customWidth="1"/>
    <col min="6" max="7" width="14.375" bestFit="1" customWidth="1"/>
    <col min="8" max="8" width="17.875" bestFit="1" customWidth="1"/>
    <col min="9" max="9" width="14.375" customWidth="1"/>
    <col min="11" max="11" width="15.375" style="16" bestFit="1" customWidth="1"/>
    <col min="12" max="12" width="15.375" bestFit="1" customWidth="1"/>
  </cols>
  <sheetData>
    <row r="1" spans="2:12" ht="15.75" thickBot="1" x14ac:dyDescent="0.3">
      <c r="J1" s="16"/>
      <c r="K1"/>
    </row>
    <row r="2" spans="2:12" ht="24" thickBot="1" x14ac:dyDescent="0.4">
      <c r="B2" s="20" t="s">
        <v>100</v>
      </c>
      <c r="C2" s="21"/>
      <c r="D2" s="21"/>
      <c r="E2" s="21"/>
      <c r="F2" s="21"/>
      <c r="G2" s="21"/>
      <c r="H2" s="21"/>
      <c r="I2" s="22"/>
      <c r="J2" s="16"/>
      <c r="K2"/>
    </row>
    <row r="3" spans="2:12" ht="15.75" thickBot="1" x14ac:dyDescent="0.3">
      <c r="B3" s="8"/>
      <c r="C3" s="6"/>
      <c r="D3" s="9" t="s">
        <v>99</v>
      </c>
      <c r="E3" s="12">
        <v>2.0833333333333333E-3</v>
      </c>
      <c r="F3" s="12">
        <v>1.0416666666666666E-2</v>
      </c>
      <c r="G3" s="12">
        <v>3.472222222222222E-3</v>
      </c>
      <c r="H3" s="12">
        <v>6.9444444444444447E-4</v>
      </c>
      <c r="I3" s="12">
        <v>6.9444444444444447E-4</v>
      </c>
      <c r="J3" s="16"/>
      <c r="K3"/>
    </row>
    <row r="4" spans="2:12" ht="30" x14ac:dyDescent="0.25">
      <c r="B4" s="3" t="s">
        <v>0</v>
      </c>
      <c r="C4" s="3" t="s">
        <v>3</v>
      </c>
      <c r="D4" s="7" t="s">
        <v>98</v>
      </c>
      <c r="E4" s="7" t="s">
        <v>101</v>
      </c>
      <c r="F4" s="3" t="s">
        <v>1</v>
      </c>
      <c r="G4" s="3" t="s">
        <v>2</v>
      </c>
      <c r="H4" s="3" t="s">
        <v>96</v>
      </c>
      <c r="I4" s="7" t="s">
        <v>117</v>
      </c>
      <c r="J4" s="16"/>
      <c r="K4" t="s">
        <v>112</v>
      </c>
      <c r="L4" s="17">
        <v>0.33333333333333331</v>
      </c>
    </row>
    <row r="5" spans="2:12" x14ac:dyDescent="0.25">
      <c r="B5" s="2">
        <v>1</v>
      </c>
      <c r="C5" t="s">
        <v>88</v>
      </c>
      <c r="D5" s="11" cm="1">
        <f t="array" ref="D5">_xlfn.IFS($E5="l",$E$3,$F5="l",$F$3,$G5="l",$G$3,$H5="l",$H$3,$I5="l",$I$3,ISNUMBER($I5),($I$3*$I5),AND(ISBLANK($E5),ISBLANK($F5),ISBLANK($G5),ISBLANK($H5),ISBLANK($I5)),0)</f>
        <v>2.0833333333333333E-3</v>
      </c>
      <c r="E5" s="1" t="s">
        <v>94</v>
      </c>
      <c r="F5" s="1"/>
      <c r="G5" s="1"/>
      <c r="H5" s="1"/>
      <c r="I5" s="23"/>
      <c r="J5" s="16">
        <f>SUM(D5:D12)</f>
        <v>1.3888888888888888E-2</v>
      </c>
      <c r="K5"/>
      <c r="L5" s="17">
        <f>L4+Table1[[#This Row],[Presenting Time]]</f>
        <v>0.33541666666666664</v>
      </c>
    </row>
    <row r="6" spans="2:12" x14ac:dyDescent="0.25">
      <c r="B6" s="2">
        <f>B5+1</f>
        <v>2</v>
      </c>
      <c r="C6" t="s">
        <v>4</v>
      </c>
      <c r="D6" s="11" cm="1">
        <f t="array" ref="D6">_xlfn.IFS($E6="l",$E$3,$F6="l",$F$3,$G6="l",$G$3,$H6="l",$H$3,$I6="l",$I$3,ISNUMBER($I6),($I$3*$I6),AND(ISBLANK($E6),ISBLANK($F6),ISBLANK($G6),ISBLANK($H6),ISBLANK($I6)),0)</f>
        <v>6.9444444444444447E-4</v>
      </c>
      <c r="E6" s="1"/>
      <c r="F6" s="1"/>
      <c r="G6" s="1"/>
      <c r="H6" s="1" t="s">
        <v>94</v>
      </c>
      <c r="I6" s="23"/>
      <c r="J6" s="16"/>
      <c r="K6"/>
      <c r="L6" s="17">
        <f>L5+Table1[[#This Row],[Presenting Time]]</f>
        <v>0.33611111111111108</v>
      </c>
    </row>
    <row r="7" spans="2:12" x14ac:dyDescent="0.25">
      <c r="B7" s="2">
        <f t="shared" ref="B7:B76" si="0">B6+1</f>
        <v>3</v>
      </c>
      <c r="C7" t="s">
        <v>89</v>
      </c>
      <c r="D7" s="11" cm="1">
        <f t="array" ref="D7">_xlfn.IFS($E7="l",$E$3,$F7="l",$F$3,$G7="l",$G$3,$H7="l",$H$3,$I7="l",$I$3,ISNUMBER($I7),($I$3*$I7),AND(ISBLANK($E7),ISBLANK($F7),ISBLANK($G7),ISBLANK($H7),ISBLANK($I7)),0)</f>
        <v>6.9444444444444447E-4</v>
      </c>
      <c r="E7" s="1"/>
      <c r="F7" s="1"/>
      <c r="G7" s="1"/>
      <c r="H7" s="1" t="s">
        <v>94</v>
      </c>
      <c r="I7" s="23"/>
      <c r="J7" s="16"/>
      <c r="K7"/>
      <c r="L7" s="17">
        <f>L6+Table1[[#This Row],[Presenting Time]]</f>
        <v>0.33680555555555552</v>
      </c>
    </row>
    <row r="8" spans="2:12" x14ac:dyDescent="0.25">
      <c r="B8" s="2">
        <f t="shared" si="0"/>
        <v>4</v>
      </c>
      <c r="C8" t="s">
        <v>5</v>
      </c>
      <c r="D8" s="11" cm="1">
        <f t="array" ref="D8">_xlfn.IFS($E8="l",$E$3,$F8="l",$F$3,$G8="l",$G$3,$H8="l",$H$3,$I8="l",$I$3,ISNUMBER($I8),($I$3*$I8),AND(ISBLANK($E8),ISBLANK($F8),ISBLANK($G8),ISBLANK($H8),ISBLANK($I8)),0)</f>
        <v>2.0833333333333333E-3</v>
      </c>
      <c r="E8" s="1" t="s">
        <v>94</v>
      </c>
      <c r="F8" s="1"/>
      <c r="G8" s="1"/>
      <c r="H8" s="1"/>
      <c r="I8" s="23"/>
      <c r="J8" s="16"/>
      <c r="K8"/>
      <c r="L8" s="17">
        <f>L7+Table1[[#This Row],[Presenting Time]]</f>
        <v>0.33888888888888885</v>
      </c>
    </row>
    <row r="9" spans="2:12" x14ac:dyDescent="0.25">
      <c r="B9" s="2">
        <f t="shared" si="0"/>
        <v>5</v>
      </c>
      <c r="C9" t="s">
        <v>6</v>
      </c>
      <c r="D9" s="11" cm="1">
        <f t="array" ref="D9">_xlfn.IFS($E9="l",$E$3,$F9="l",$F$3,$G9="l",$G$3,$H9="l",$H$3,$I9="l",$I$3,ISNUMBER($I9),($I$3*$I9),AND(ISBLANK($E9),ISBLANK($F9),ISBLANK($G9),ISBLANK($H9),ISBLANK($I9)),0)</f>
        <v>2.0833333333333333E-3</v>
      </c>
      <c r="E9" s="1" t="s">
        <v>94</v>
      </c>
      <c r="F9" s="1"/>
      <c r="G9" s="1"/>
      <c r="H9" s="1"/>
      <c r="I9" s="23"/>
      <c r="J9" s="16"/>
      <c r="K9"/>
      <c r="L9" s="17">
        <f>L8+Table1[[#This Row],[Presenting Time]]</f>
        <v>0.34097222222222218</v>
      </c>
    </row>
    <row r="10" spans="2:12" x14ac:dyDescent="0.25">
      <c r="B10" s="2">
        <f t="shared" si="0"/>
        <v>6</v>
      </c>
      <c r="C10" t="s">
        <v>7</v>
      </c>
      <c r="D10" s="11" cm="1">
        <f t="array" ref="D10">_xlfn.IFS($E10="l",$E$3,$F10="l",$F$3,$G10="l",$G$3,$H10="l",$H$3,$I10="l",$I$3,ISNUMBER($I10),($I$3*$I10),AND(ISBLANK($E10),ISBLANK($F10),ISBLANK($G10),ISBLANK($H10),ISBLANK($I10)),0)</f>
        <v>2.0833333333333333E-3</v>
      </c>
      <c r="E10" s="1" t="s">
        <v>94</v>
      </c>
      <c r="F10" s="1"/>
      <c r="G10" s="1"/>
      <c r="H10" s="1"/>
      <c r="I10" s="23"/>
      <c r="J10" s="16"/>
      <c r="K10"/>
      <c r="L10" s="17">
        <f>L9+Table1[[#This Row],[Presenting Time]]</f>
        <v>0.3430555555555555</v>
      </c>
    </row>
    <row r="11" spans="2:12" x14ac:dyDescent="0.25">
      <c r="B11" s="2">
        <f t="shared" si="0"/>
        <v>7</v>
      </c>
      <c r="C11" t="s">
        <v>8</v>
      </c>
      <c r="D11" s="11" cm="1">
        <f t="array" ref="D11">_xlfn.IFS($E11="l",$E$3,$F11="l",$F$3,$G11="l",$G$3,$H11="l",$H$3,$I11="l",$I$3,ISNUMBER($I11),($I$3*$I11),AND(ISBLANK($E11),ISBLANK($F11),ISBLANK($G11),ISBLANK($H11),ISBLANK($I11)),0)</f>
        <v>2.0833333333333333E-3</v>
      </c>
      <c r="E11" s="1" t="s">
        <v>94</v>
      </c>
      <c r="F11" s="1"/>
      <c r="G11" s="1"/>
      <c r="H11" s="1"/>
      <c r="I11" s="23"/>
      <c r="J11" s="16"/>
      <c r="K11"/>
      <c r="L11" s="17">
        <f>L10+Table1[[#This Row],[Presenting Time]]</f>
        <v>0.34513888888888883</v>
      </c>
    </row>
    <row r="12" spans="2:12" x14ac:dyDescent="0.25">
      <c r="B12" s="2">
        <f t="shared" si="0"/>
        <v>8</v>
      </c>
      <c r="C12" t="s">
        <v>9</v>
      </c>
      <c r="D12" s="11" cm="1">
        <f t="array" ref="D12">_xlfn.IFS($E12="l",$E$3,$F12="l",$F$3,$G12="l",$G$3,$H12="l",$H$3,$I12="l",$I$3,ISNUMBER($I12),($I$3*$I12),AND(ISBLANK($E12),ISBLANK($F12),ISBLANK($G12),ISBLANK($H12),ISBLANK($I12)),0)</f>
        <v>2.0833333333333333E-3</v>
      </c>
      <c r="E12" s="1" t="s">
        <v>94</v>
      </c>
      <c r="F12" s="1"/>
      <c r="G12" s="1"/>
      <c r="H12" s="1"/>
      <c r="I12" s="23"/>
      <c r="J12" s="16"/>
      <c r="K12"/>
      <c r="L12" s="17">
        <f>L11+Table1[[#This Row],[Presenting Time]]</f>
        <v>0.34722222222222215</v>
      </c>
    </row>
    <row r="13" spans="2:12" x14ac:dyDescent="0.25">
      <c r="B13" s="2">
        <f t="shared" si="0"/>
        <v>9</v>
      </c>
      <c r="C13" s="4" t="s">
        <v>10</v>
      </c>
      <c r="D13" s="11" cm="1">
        <f t="array" ref="D13">_xlfn.IFS($E13="l",$E$3,$F13="l",$F$3,$G13="l",$G$3,$H13="l",$H$3,$I13="l",$I$3,ISNUMBER($I13),($I$3*$I13),AND(ISBLANK($E13),ISBLANK($F13),ISBLANK($G13),ISBLANK($H13),ISBLANK($I13)),0)</f>
        <v>2.0833333333333333E-3</v>
      </c>
      <c r="E13" s="1" t="s">
        <v>94</v>
      </c>
      <c r="F13" s="1"/>
      <c r="G13" s="1"/>
      <c r="H13" s="1"/>
      <c r="I13" s="23"/>
      <c r="J13" s="16">
        <f>SUM(D13:D26)</f>
        <v>7.0833333333333331E-2</v>
      </c>
      <c r="K13"/>
      <c r="L13" s="17">
        <f>L12+Table1[[#This Row],[Presenting Time]]</f>
        <v>0.34930555555555548</v>
      </c>
    </row>
    <row r="14" spans="2:12" x14ac:dyDescent="0.25">
      <c r="B14" s="2">
        <f t="shared" si="0"/>
        <v>10</v>
      </c>
      <c r="C14" s="14" t="s">
        <v>11</v>
      </c>
      <c r="D14" s="11" cm="1">
        <f t="array" ref="D14">_xlfn.IFS($E14="l",$E$3,$F14="l",$F$3,$G14="l",$G$3,$H14="l",$H$3,$I14="l",$I$3,ISNUMBER($I14),($I$3*$I14),AND(ISBLANK($E14),ISBLANK($F14),ISBLANK($G14),ISBLANK($H14),ISBLANK($I14)),0)</f>
        <v>3.472222222222222E-3</v>
      </c>
      <c r="E14" s="1"/>
      <c r="F14" s="1"/>
      <c r="G14" s="1" t="s">
        <v>94</v>
      </c>
      <c r="H14" s="1"/>
      <c r="I14" s="23"/>
      <c r="J14" s="16"/>
      <c r="K14"/>
      <c r="L14" s="17">
        <f>L13+Table1[[#This Row],[Presenting Time]]</f>
        <v>0.35277777777777769</v>
      </c>
    </row>
    <row r="15" spans="2:12" x14ac:dyDescent="0.25">
      <c r="B15" s="2">
        <f t="shared" si="0"/>
        <v>11</v>
      </c>
      <c r="C15" s="14" t="s">
        <v>12</v>
      </c>
      <c r="D15" s="11" cm="1">
        <f t="array" ref="D15">_xlfn.IFS($E15="l",$E$3,$F15="l",$F$3,$G15="l",$G$3,$H15="l",$H$3,$I15="l",$I$3,ISNUMBER($I15),($I$3*$I15),AND(ISBLANK($E15),ISBLANK($F15),ISBLANK($G15),ISBLANK($H15),ISBLANK($I15)),0)</f>
        <v>2.0833333333333333E-3</v>
      </c>
      <c r="E15" s="1" t="s">
        <v>94</v>
      </c>
      <c r="F15" s="1"/>
      <c r="G15" s="1"/>
      <c r="H15" s="1"/>
      <c r="I15" s="23"/>
      <c r="J15" s="16"/>
      <c r="K15"/>
      <c r="L15" s="17">
        <f>L14+Table1[[#This Row],[Presenting Time]]</f>
        <v>0.35486111111111102</v>
      </c>
    </row>
    <row r="16" spans="2:12" x14ac:dyDescent="0.25">
      <c r="B16" s="2">
        <f t="shared" si="0"/>
        <v>12</v>
      </c>
      <c r="C16" s="14" t="s">
        <v>13</v>
      </c>
      <c r="D16" s="11" cm="1">
        <f t="array" ref="D16">_xlfn.IFS($E16="l",$E$3,$F16="l",$F$3,$G16="l",$G$3,$H16="l",$H$3,$I16="l",$I$3,ISNUMBER($I16),($I$3*$I16),AND(ISBLANK($E16),ISBLANK($F16),ISBLANK($G16),ISBLANK($H16),ISBLANK($I16)),0)</f>
        <v>3.472222222222222E-3</v>
      </c>
      <c r="E16" s="1"/>
      <c r="F16" s="1"/>
      <c r="G16" s="1" t="s">
        <v>94</v>
      </c>
      <c r="H16" s="1"/>
      <c r="I16" s="23"/>
      <c r="J16" s="16"/>
      <c r="K16"/>
      <c r="L16" s="17">
        <f>L15+Table1[[#This Row],[Presenting Time]]</f>
        <v>0.35833333333333323</v>
      </c>
    </row>
    <row r="17" spans="2:12" x14ac:dyDescent="0.25">
      <c r="B17" s="2">
        <f t="shared" si="0"/>
        <v>13</v>
      </c>
      <c r="C17" s="14" t="s">
        <v>13</v>
      </c>
      <c r="D17" s="11" cm="1">
        <f t="array" ref="D17">_xlfn.IFS($E17="l",$E$3,$F17="l",$F$3,$G17="l",$G$3,$H17="l",$H$3,$I17="l",$I$3,ISNUMBER($I17),($I$3*$I17),AND(ISBLANK($E17),ISBLANK($F17),ISBLANK($G17),ISBLANK($H17),ISBLANK($I17)),0)</f>
        <v>1.0416666666666666E-2</v>
      </c>
      <c r="E17" s="1"/>
      <c r="F17" s="1" t="s">
        <v>94</v>
      </c>
      <c r="G17" s="1"/>
      <c r="H17" s="1"/>
      <c r="I17" s="23"/>
      <c r="J17" s="16"/>
      <c r="K17"/>
      <c r="L17" s="17">
        <f>L16+Table1[[#This Row],[Presenting Time]]</f>
        <v>0.36874999999999991</v>
      </c>
    </row>
    <row r="18" spans="2:12" x14ac:dyDescent="0.25">
      <c r="B18" s="2">
        <f t="shared" si="0"/>
        <v>14</v>
      </c>
      <c r="C18" s="14" t="s">
        <v>14</v>
      </c>
      <c r="D18" s="11" cm="1">
        <f t="array" ref="D18">_xlfn.IFS($E18="l",$E$3,$F18="l",$F$3,$G18="l",$G$3,$H18="l",$H$3,$I18="l",$I$3,ISNUMBER($I18),($I$3*$I18),AND(ISBLANK($E18),ISBLANK($F18),ISBLANK($G18),ISBLANK($H18),ISBLANK($I18)),0)</f>
        <v>3.472222222222222E-3</v>
      </c>
      <c r="E18" s="1"/>
      <c r="F18" s="1"/>
      <c r="G18" s="1" t="s">
        <v>94</v>
      </c>
      <c r="H18" s="1"/>
      <c r="I18" s="23"/>
      <c r="J18" s="16"/>
      <c r="K18"/>
      <c r="L18" s="17">
        <f>L17+Table1[[#This Row],[Presenting Time]]</f>
        <v>0.37222222222222212</v>
      </c>
    </row>
    <row r="19" spans="2:12" x14ac:dyDescent="0.25">
      <c r="B19" s="2">
        <f t="shared" si="0"/>
        <v>15</v>
      </c>
      <c r="C19" s="14" t="s">
        <v>14</v>
      </c>
      <c r="D19" s="11" cm="1">
        <f t="array" ref="D19">_xlfn.IFS($E19="l",$E$3,$F19="l",$F$3,$G19="l",$G$3,$H19="l",$H$3,$I19="l",$I$3,ISNUMBER($I19),($I$3*$I19),AND(ISBLANK($E19),ISBLANK($F19),ISBLANK($G19),ISBLANK($H19),ISBLANK($I19)),0)</f>
        <v>1.0416666666666666E-2</v>
      </c>
      <c r="E19" s="1"/>
      <c r="F19" s="1" t="s">
        <v>94</v>
      </c>
      <c r="G19" s="1"/>
      <c r="H19" s="1"/>
      <c r="I19" s="23"/>
      <c r="J19" s="16"/>
      <c r="K19"/>
      <c r="L19" s="17">
        <f>L18+Table1[[#This Row],[Presenting Time]]</f>
        <v>0.38263888888888881</v>
      </c>
    </row>
    <row r="20" spans="2:12" x14ac:dyDescent="0.25">
      <c r="B20" s="2">
        <f t="shared" si="0"/>
        <v>16</v>
      </c>
      <c r="C20" s="14" t="s">
        <v>14</v>
      </c>
      <c r="D20" s="11" cm="1">
        <f t="array" ref="D20">_xlfn.IFS($E20="l",$E$3,$F20="l",$F$3,$G20="l",$G$3,$H20="l",$H$3,$I20="l",$I$3,ISNUMBER($I20),($I$3*$I20),AND(ISBLANK($E20),ISBLANK($F20),ISBLANK($G20),ISBLANK($H20),ISBLANK($I20)),0)</f>
        <v>3.472222222222222E-3</v>
      </c>
      <c r="E20" s="1"/>
      <c r="F20" s="1"/>
      <c r="G20" s="1" t="s">
        <v>94</v>
      </c>
      <c r="H20" s="1"/>
      <c r="I20" s="23"/>
      <c r="J20" s="16"/>
      <c r="K20"/>
      <c r="L20" s="17">
        <f>L19+Table1[[#This Row],[Presenting Time]]</f>
        <v>0.38611111111111102</v>
      </c>
    </row>
    <row r="21" spans="2:12" x14ac:dyDescent="0.25">
      <c r="B21" s="2">
        <f t="shared" si="0"/>
        <v>17</v>
      </c>
      <c r="C21" s="14" t="s">
        <v>15</v>
      </c>
      <c r="D21" s="11" cm="1">
        <f t="array" ref="D21">_xlfn.IFS($E21="l",$E$3,$F21="l",$F$3,$G21="l",$G$3,$H21="l",$H$3,$I21="l",$I$3,ISNUMBER($I21),($I$3*$I21),AND(ISBLANK($E21),ISBLANK($F21),ISBLANK($G21),ISBLANK($H21),ISBLANK($I21)),0)</f>
        <v>3.472222222222222E-3</v>
      </c>
      <c r="E21" s="1"/>
      <c r="F21" s="1"/>
      <c r="G21" s="1" t="s">
        <v>94</v>
      </c>
      <c r="H21" s="1"/>
      <c r="I21" s="23"/>
      <c r="J21" s="16"/>
      <c r="K21"/>
      <c r="L21" s="17">
        <f>L20+Table1[[#This Row],[Presenting Time]]</f>
        <v>0.38958333333333323</v>
      </c>
    </row>
    <row r="22" spans="2:12" x14ac:dyDescent="0.25">
      <c r="B22" s="2">
        <f t="shared" si="0"/>
        <v>18</v>
      </c>
      <c r="C22" s="14" t="s">
        <v>15</v>
      </c>
      <c r="D22" s="11" cm="1">
        <f t="array" ref="D22">_xlfn.IFS($E22="l",$E$3,$F22="l",$F$3,$G22="l",$G$3,$H22="l",$H$3,$I22="l",$I$3,ISNUMBER($I22),($I$3*$I22),AND(ISBLANK($E22),ISBLANK($F22),ISBLANK($G22),ISBLANK($H22),ISBLANK($I22)),0)</f>
        <v>2.0833333333333333E-3</v>
      </c>
      <c r="E22" s="1" t="s">
        <v>94</v>
      </c>
      <c r="F22" s="1"/>
      <c r="G22" s="1"/>
      <c r="H22" s="1"/>
      <c r="I22" s="23"/>
      <c r="J22" s="16"/>
      <c r="K22"/>
      <c r="L22" s="17">
        <f>L21+Table1[[#This Row],[Presenting Time]]</f>
        <v>0.39166666666666655</v>
      </c>
    </row>
    <row r="23" spans="2:12" x14ac:dyDescent="0.25">
      <c r="B23" s="2">
        <f t="shared" si="0"/>
        <v>19</v>
      </c>
      <c r="C23" s="14" t="s">
        <v>15</v>
      </c>
      <c r="D23" s="11" cm="1">
        <f t="array" ref="D23">_xlfn.IFS($E23="l",$E$3,$F23="l",$F$3,$G23="l",$G$3,$H23="l",$H$3,$I23="l",$I$3,ISNUMBER($I23),($I$3*$I23),AND(ISBLANK($E23),ISBLANK($F23),ISBLANK($G23),ISBLANK($H23),ISBLANK($I23)),0)</f>
        <v>1.0416666666666666E-2</v>
      </c>
      <c r="E23" s="1"/>
      <c r="F23" s="1" t="s">
        <v>94</v>
      </c>
      <c r="G23" s="1"/>
      <c r="H23" s="1"/>
      <c r="I23" s="23"/>
      <c r="J23" s="16"/>
      <c r="K23"/>
      <c r="L23" s="17">
        <f>L22+Table1[[#This Row],[Presenting Time]]</f>
        <v>0.40208333333333324</v>
      </c>
    </row>
    <row r="24" spans="2:12" x14ac:dyDescent="0.25">
      <c r="B24" s="2">
        <f t="shared" si="0"/>
        <v>20</v>
      </c>
      <c r="C24" s="14" t="s">
        <v>16</v>
      </c>
      <c r="D24" s="11" cm="1">
        <f t="array" ref="D24">_xlfn.IFS($E24="l",$E$3,$F24="l",$F$3,$G24="l",$G$3,$H24="l",$H$3,$I24="l",$I$3,ISNUMBER($I24),($I$3*$I24),AND(ISBLANK($E24),ISBLANK($F24),ISBLANK($G24),ISBLANK($H24),ISBLANK($I24)),0)</f>
        <v>2.0833333333333333E-3</v>
      </c>
      <c r="E24" s="1" t="s">
        <v>94</v>
      </c>
      <c r="F24" s="1"/>
      <c r="G24" s="1"/>
      <c r="H24" s="1"/>
      <c r="I24" s="23"/>
      <c r="J24" s="16"/>
      <c r="K24"/>
      <c r="L24" s="17">
        <f>L23+Table1[[#This Row],[Presenting Time]]</f>
        <v>0.40416666666666656</v>
      </c>
    </row>
    <row r="25" spans="2:12" x14ac:dyDescent="0.25">
      <c r="B25" s="2">
        <f t="shared" si="0"/>
        <v>21</v>
      </c>
      <c r="C25" s="14" t="s">
        <v>17</v>
      </c>
      <c r="D25" s="11" cm="1">
        <f t="array" ref="D25">_xlfn.IFS($E25="l",$E$3,$F25="l",$F$3,$G25="l",$G$3,$H25="l",$H$3,$I25="l",$I$3,ISNUMBER($I25),($I$3*$I25),AND(ISBLANK($E25),ISBLANK($F25),ISBLANK($G25),ISBLANK($H25),ISBLANK($I25)),0)</f>
        <v>3.472222222222222E-3</v>
      </c>
      <c r="E25" s="1"/>
      <c r="F25" s="1"/>
      <c r="G25" s="1" t="s">
        <v>94</v>
      </c>
      <c r="H25" s="1"/>
      <c r="I25" s="23"/>
      <c r="J25" s="16"/>
      <c r="K25"/>
      <c r="L25" s="17">
        <f>L24+Table1[[#This Row],[Presenting Time]]</f>
        <v>0.40763888888888877</v>
      </c>
    </row>
    <row r="26" spans="2:12" x14ac:dyDescent="0.25">
      <c r="B26" s="2"/>
      <c r="C26" s="15" t="s">
        <v>108</v>
      </c>
      <c r="D26" s="11" cm="1">
        <f t="array" ref="D26">_xlfn.IFS($E26="l",$E$3,$F26="l",$F$3,$G26="l",$G$3,$H26="l",$H$3,$I26="l",$I$3,ISNUMBER($I26),($I$3*$I26),AND(ISBLANK($E26),ISBLANK($F26),ISBLANK($G26),ISBLANK($H26),ISBLANK($I26)),0)</f>
        <v>1.0416666666666668E-2</v>
      </c>
      <c r="E26" s="1"/>
      <c r="F26" s="1"/>
      <c r="G26" s="1"/>
      <c r="H26" s="1"/>
      <c r="I26" s="23">
        <v>15</v>
      </c>
      <c r="J26" s="16"/>
      <c r="K26"/>
      <c r="L26" s="17">
        <f>L25+Table1[[#This Row],[Presenting Time]]</f>
        <v>0.41805555555555546</v>
      </c>
    </row>
    <row r="27" spans="2:12" x14ac:dyDescent="0.25">
      <c r="B27" s="2">
        <f>B25+1</f>
        <v>22</v>
      </c>
      <c r="C27" s="15" t="s">
        <v>18</v>
      </c>
      <c r="D27" s="11" cm="1">
        <f t="array" ref="D27">_xlfn.IFS($E27="l",$E$3,$F27="l",$F$3,$G27="l",$G$3,$H27="l",$H$3,$I27="l",$I$3,ISNUMBER($I27),($I$3*$I27),AND(ISBLANK($E27),ISBLANK($F27),ISBLANK($G27),ISBLANK($H27),ISBLANK($I27)),0)</f>
        <v>2.0833333333333333E-3</v>
      </c>
      <c r="E27" s="1" t="s">
        <v>94</v>
      </c>
      <c r="F27" s="1"/>
      <c r="G27" s="1"/>
      <c r="H27" s="1"/>
      <c r="I27" s="23"/>
      <c r="J27" s="16">
        <f>SUM(D27:D60)</f>
        <v>0.20555555555555552</v>
      </c>
      <c r="K27"/>
      <c r="L27" s="17">
        <f>L26+Table1[[#This Row],[Presenting Time]]</f>
        <v>0.42013888888888878</v>
      </c>
    </row>
    <row r="28" spans="2:12" x14ac:dyDescent="0.25">
      <c r="B28" s="2">
        <f t="shared" si="0"/>
        <v>23</v>
      </c>
      <c r="C28" s="14" t="s">
        <v>18</v>
      </c>
      <c r="D28" s="11" cm="1">
        <f t="array" ref="D28">_xlfn.IFS($E28="l",$E$3,$F28="l",$F$3,$G28="l",$G$3,$H28="l",$H$3,$I28="l",$I$3,ISNUMBER($I28),($I$3*$I28),AND(ISBLANK($E28),ISBLANK($F28),ISBLANK($G28),ISBLANK($H28),ISBLANK($I28)),0)</f>
        <v>2.0833333333333333E-3</v>
      </c>
      <c r="E28" s="1" t="s">
        <v>94</v>
      </c>
      <c r="F28" s="1"/>
      <c r="G28" s="1"/>
      <c r="H28" s="1"/>
      <c r="I28" s="23"/>
      <c r="J28" s="16"/>
      <c r="K28"/>
      <c r="L28" s="17">
        <f>L27+Table1[[#This Row],[Presenting Time]]</f>
        <v>0.42222222222222211</v>
      </c>
    </row>
    <row r="29" spans="2:12" x14ac:dyDescent="0.25">
      <c r="B29" s="2">
        <f t="shared" si="0"/>
        <v>24</v>
      </c>
      <c r="C29" s="14" t="s">
        <v>19</v>
      </c>
      <c r="D29" s="11" cm="1">
        <f t="array" ref="D29">_xlfn.IFS($E29="l",$E$3,$F29="l",$F$3,$G29="l",$G$3,$H29="l",$H$3,$I29="l",$I$3,ISNUMBER($I29),($I$3*$I29),AND(ISBLANK($E29),ISBLANK($F29),ISBLANK($G29),ISBLANK($H29),ISBLANK($I29)),0)</f>
        <v>2.0833333333333333E-3</v>
      </c>
      <c r="E29" s="1" t="s">
        <v>94</v>
      </c>
      <c r="F29" s="1"/>
      <c r="G29" s="1"/>
      <c r="H29" s="1"/>
      <c r="I29" s="23"/>
      <c r="J29" s="16"/>
      <c r="K29"/>
      <c r="L29" s="17">
        <f>L28+Table1[[#This Row],[Presenting Time]]</f>
        <v>0.42430555555555544</v>
      </c>
    </row>
    <row r="30" spans="2:12" x14ac:dyDescent="0.25">
      <c r="B30" s="2">
        <f t="shared" si="0"/>
        <v>25</v>
      </c>
      <c r="C30" s="14" t="s">
        <v>20</v>
      </c>
      <c r="D30" s="11" cm="1">
        <f t="array" ref="D30">_xlfn.IFS($E30="l",$E$3,$F30="l",$F$3,$G30="l",$G$3,$H30="l",$H$3,$I30="l",$I$3,ISNUMBER($I30),($I$3*$I30),AND(ISBLANK($E30),ISBLANK($F30),ISBLANK($G30),ISBLANK($H30),ISBLANK($I30)),0)</f>
        <v>2.0833333333333333E-3</v>
      </c>
      <c r="E30" s="1" t="s">
        <v>94</v>
      </c>
      <c r="F30" s="1"/>
      <c r="G30" s="1"/>
      <c r="H30" s="1"/>
      <c r="I30" s="23"/>
      <c r="J30" s="16"/>
      <c r="K30"/>
      <c r="L30" s="17">
        <f>L29+Table1[[#This Row],[Presenting Time]]</f>
        <v>0.42638888888888876</v>
      </c>
    </row>
    <row r="31" spans="2:12" x14ac:dyDescent="0.25">
      <c r="B31" s="2">
        <f t="shared" si="0"/>
        <v>26</v>
      </c>
      <c r="C31" s="14" t="s">
        <v>19</v>
      </c>
      <c r="D31" s="11" cm="1">
        <f t="array" ref="D31">_xlfn.IFS($E31="l",$E$3,$F31="l",$F$3,$G31="l",$G$3,$H31="l",$H$3,$I31="l",$I$3,ISNUMBER($I31),($I$3*$I31),AND(ISBLANK($E31),ISBLANK($F31),ISBLANK($G31),ISBLANK($H31),ISBLANK($I31)),0)</f>
        <v>1.0416666666666666E-2</v>
      </c>
      <c r="E31" s="1"/>
      <c r="F31" s="1" t="s">
        <v>94</v>
      </c>
      <c r="G31" s="1"/>
      <c r="H31" s="1"/>
      <c r="I31" s="23"/>
      <c r="J31" s="16"/>
      <c r="K31"/>
      <c r="L31" s="17">
        <f>L30+Table1[[#This Row],[Presenting Time]]</f>
        <v>0.43680555555555545</v>
      </c>
    </row>
    <row r="32" spans="2:12" x14ac:dyDescent="0.25">
      <c r="B32" s="2">
        <f t="shared" si="0"/>
        <v>27</v>
      </c>
      <c r="C32" s="14" t="s">
        <v>21</v>
      </c>
      <c r="D32" s="11" cm="1">
        <f t="array" ref="D32">_xlfn.IFS($E32="l",$E$3,$F32="l",$F$3,$G32="l",$G$3,$H32="l",$H$3,$I32="l",$I$3,ISNUMBER($I32),($I$3*$I32),AND(ISBLANK($E32),ISBLANK($F32),ISBLANK($G32),ISBLANK($H32),ISBLANK($I32)),0)</f>
        <v>2.0833333333333333E-3</v>
      </c>
      <c r="E32" s="1" t="s">
        <v>94</v>
      </c>
      <c r="F32" s="1"/>
      <c r="G32" s="1"/>
      <c r="H32" s="1"/>
      <c r="I32" s="23"/>
      <c r="J32" s="16"/>
      <c r="K32"/>
      <c r="L32" s="17">
        <f>L31+Table1[[#This Row],[Presenting Time]]</f>
        <v>0.43888888888888877</v>
      </c>
    </row>
    <row r="33" spans="2:12" x14ac:dyDescent="0.25">
      <c r="B33" s="2">
        <f t="shared" si="0"/>
        <v>28</v>
      </c>
      <c r="C33" s="14" t="s">
        <v>21</v>
      </c>
      <c r="D33" s="11" cm="1">
        <f t="array" ref="D33">_xlfn.IFS($E33="l",$E$3,$F33="l",$F$3,$G33="l",$G$3,$H33="l",$H$3,$I33="l",$I$3,ISNUMBER($I33),($I$3*$I33),AND(ISBLANK($E33),ISBLANK($F33),ISBLANK($G33),ISBLANK($H33),ISBLANK($I33)),0)</f>
        <v>2.0833333333333333E-3</v>
      </c>
      <c r="E33" s="1" t="s">
        <v>94</v>
      </c>
      <c r="F33" s="1"/>
      <c r="G33" s="1"/>
      <c r="H33" s="1"/>
      <c r="I33" s="23"/>
      <c r="J33" s="16"/>
      <c r="K33"/>
      <c r="L33" s="17">
        <f>L32+Table1[[#This Row],[Presenting Time]]</f>
        <v>0.4409722222222221</v>
      </c>
    </row>
    <row r="34" spans="2:12" x14ac:dyDescent="0.25">
      <c r="B34" s="2">
        <f t="shared" si="0"/>
        <v>29</v>
      </c>
      <c r="C34" s="14" t="s">
        <v>22</v>
      </c>
      <c r="D34" s="11" cm="1">
        <f t="array" ref="D34">_xlfn.IFS($E34="l",$E$3,$F34="l",$F$3,$G34="l",$G$3,$H34="l",$H$3,$I34="l",$I$3,ISNUMBER($I34),($I$3*$I34),AND(ISBLANK($E34),ISBLANK($F34),ISBLANK($G34),ISBLANK($H34),ISBLANK($I34)),0)</f>
        <v>3.472222222222222E-3</v>
      </c>
      <c r="E34" s="1"/>
      <c r="F34" s="1"/>
      <c r="G34" s="1" t="s">
        <v>94</v>
      </c>
      <c r="H34" s="1"/>
      <c r="I34" s="23"/>
      <c r="J34" s="16"/>
      <c r="K34"/>
      <c r="L34" s="17">
        <f>L33+Table1[[#This Row],[Presenting Time]]</f>
        <v>0.44444444444444431</v>
      </c>
    </row>
    <row r="35" spans="2:12" x14ac:dyDescent="0.25">
      <c r="B35" s="2">
        <f t="shared" si="0"/>
        <v>30</v>
      </c>
      <c r="C35" s="14" t="s">
        <v>23</v>
      </c>
      <c r="D35" s="11" cm="1">
        <f t="array" ref="D35">_xlfn.IFS($E35="l",$E$3,$F35="l",$F$3,$G35="l",$G$3,$H35="l",$H$3,$I35="l",$I$3,ISNUMBER($I35),($I$3*$I35),AND(ISBLANK($E35),ISBLANK($F35),ISBLANK($G35),ISBLANK($H35),ISBLANK($I35)),0)</f>
        <v>3.472222222222222E-3</v>
      </c>
      <c r="E35" s="1"/>
      <c r="F35" s="1"/>
      <c r="G35" s="1" t="s">
        <v>94</v>
      </c>
      <c r="H35" s="1"/>
      <c r="I35" s="23"/>
      <c r="J35" s="16"/>
      <c r="K35"/>
      <c r="L35" s="17">
        <f>L34+Table1[[#This Row],[Presenting Time]]</f>
        <v>0.44791666666666652</v>
      </c>
    </row>
    <row r="36" spans="2:12" x14ac:dyDescent="0.25">
      <c r="B36" s="2">
        <f t="shared" si="0"/>
        <v>31</v>
      </c>
      <c r="C36" s="14" t="s">
        <v>23</v>
      </c>
      <c r="D36" s="11" cm="1">
        <f t="array" ref="D36">_xlfn.IFS($E36="l",$E$3,$F36="l",$F$3,$G36="l",$G$3,$H36="l",$H$3,$I36="l",$I$3,ISNUMBER($I36),($I$3*$I36),AND(ISBLANK($E36),ISBLANK($F36),ISBLANK($G36),ISBLANK($H36),ISBLANK($I36)),0)</f>
        <v>3.472222222222222E-3</v>
      </c>
      <c r="E36" s="1"/>
      <c r="F36" s="1"/>
      <c r="G36" s="1" t="s">
        <v>94</v>
      </c>
      <c r="H36" s="1"/>
      <c r="I36" s="23"/>
      <c r="J36" s="16"/>
      <c r="K36"/>
      <c r="L36" s="17">
        <f>L35+Table1[[#This Row],[Presenting Time]]</f>
        <v>0.45138888888888873</v>
      </c>
    </row>
    <row r="37" spans="2:12" x14ac:dyDescent="0.25">
      <c r="B37" s="2">
        <f t="shared" si="0"/>
        <v>32</v>
      </c>
      <c r="C37" s="14" t="s">
        <v>24</v>
      </c>
      <c r="D37" s="11" cm="1">
        <f t="array" ref="D37">_xlfn.IFS($E37="l",$E$3,$F37="l",$F$3,$G37="l",$G$3,$H37="l",$H$3,$I37="l",$I$3,ISNUMBER($I37),($I$3*$I37),AND(ISBLANK($E37),ISBLANK($F37),ISBLANK($G37),ISBLANK($H37),ISBLANK($I37)),0)</f>
        <v>2.0833333333333333E-3</v>
      </c>
      <c r="E37" s="1" t="s">
        <v>94</v>
      </c>
      <c r="F37" s="1"/>
      <c r="G37" s="1"/>
      <c r="H37" s="1"/>
      <c r="I37" s="23"/>
      <c r="J37" s="16"/>
      <c r="K37"/>
      <c r="L37" s="17">
        <f>L36+Table1[[#This Row],[Presenting Time]]</f>
        <v>0.45347222222222205</v>
      </c>
    </row>
    <row r="38" spans="2:12" x14ac:dyDescent="0.25">
      <c r="B38" s="2">
        <f t="shared" si="0"/>
        <v>33</v>
      </c>
      <c r="C38" s="14" t="s">
        <v>24</v>
      </c>
      <c r="D38" s="11" cm="1">
        <f t="array" ref="D38">_xlfn.IFS($E38="l",$E$3,$F38="l",$F$3,$G38="l",$G$3,$H38="l",$H$3,$I38="l",$I$3,ISNUMBER($I38),($I$3*$I38),AND(ISBLANK($E38),ISBLANK($F38),ISBLANK($G38),ISBLANK($H38),ISBLANK($I38)),0)</f>
        <v>3.472222222222222E-3</v>
      </c>
      <c r="E38" s="1"/>
      <c r="F38" s="1"/>
      <c r="G38" s="1" t="s">
        <v>94</v>
      </c>
      <c r="H38" s="1"/>
      <c r="I38" s="23"/>
      <c r="J38" s="16"/>
      <c r="K38"/>
      <c r="L38" s="17">
        <f>L37+Table1[[#This Row],[Presenting Time]]</f>
        <v>0.45694444444444426</v>
      </c>
    </row>
    <row r="39" spans="2:12" x14ac:dyDescent="0.25">
      <c r="B39" s="2">
        <f t="shared" si="0"/>
        <v>34</v>
      </c>
      <c r="C39" s="14" t="s">
        <v>25</v>
      </c>
      <c r="D39" s="11" cm="1">
        <f t="array" ref="D39">_xlfn.IFS($E39="l",$E$3,$F39="l",$F$3,$G39="l",$G$3,$H39="l",$H$3,$I39="l",$I$3,ISNUMBER($I39),($I$3*$I39),AND(ISBLANK($E39),ISBLANK($F39),ISBLANK($G39),ISBLANK($H39),ISBLANK($I39)),0)</f>
        <v>3.472222222222222E-3</v>
      </c>
      <c r="E39" s="1"/>
      <c r="F39" s="1"/>
      <c r="G39" s="1" t="s">
        <v>94</v>
      </c>
      <c r="H39" s="1"/>
      <c r="I39" s="23"/>
      <c r="J39" s="16"/>
      <c r="K39"/>
      <c r="L39" s="17">
        <f>L38+Table1[[#This Row],[Presenting Time]]</f>
        <v>0.46041666666666647</v>
      </c>
    </row>
    <row r="40" spans="2:12" x14ac:dyDescent="0.25">
      <c r="B40" s="2">
        <f t="shared" si="0"/>
        <v>35</v>
      </c>
      <c r="C40" s="14" t="s">
        <v>25</v>
      </c>
      <c r="D40" s="11" cm="1">
        <f t="array" ref="D40">_xlfn.IFS($E40="l",$E$3,$F40="l",$F$3,$G40="l",$G$3,$H40="l",$H$3,$I40="l",$I$3,ISNUMBER($I40),($I$3*$I40),AND(ISBLANK($E40),ISBLANK($F40),ISBLANK($G40),ISBLANK($H40),ISBLANK($I40)),0)</f>
        <v>3.472222222222222E-3</v>
      </c>
      <c r="E40" s="1"/>
      <c r="F40" s="1"/>
      <c r="G40" s="1" t="s">
        <v>94</v>
      </c>
      <c r="H40" s="1"/>
      <c r="I40" s="23"/>
      <c r="J40" s="16"/>
      <c r="K40"/>
      <c r="L40" s="17">
        <f>L39+Table1[[#This Row],[Presenting Time]]</f>
        <v>0.46388888888888868</v>
      </c>
    </row>
    <row r="41" spans="2:12" x14ac:dyDescent="0.25">
      <c r="B41" s="2">
        <f t="shared" si="0"/>
        <v>36</v>
      </c>
      <c r="C41" s="14" t="s">
        <v>26</v>
      </c>
      <c r="D41" s="11" cm="1">
        <f t="array" ref="D41">_xlfn.IFS($E41="l",$E$3,$F41="l",$F$3,$G41="l",$G$3,$H41="l",$H$3,$I41="l",$I$3,ISNUMBER($I41),($I$3*$I41),AND(ISBLANK($E41),ISBLANK($F41),ISBLANK($G41),ISBLANK($H41),ISBLANK($I41)),0)</f>
        <v>2.0833333333333333E-3</v>
      </c>
      <c r="E41" s="1" t="s">
        <v>94</v>
      </c>
      <c r="F41" s="1"/>
      <c r="G41" s="1"/>
      <c r="H41" s="1"/>
      <c r="I41" s="23"/>
      <c r="J41" s="16"/>
      <c r="K41"/>
      <c r="L41" s="17">
        <f>L40+Table1[[#This Row],[Presenting Time]]</f>
        <v>0.46597222222222201</v>
      </c>
    </row>
    <row r="42" spans="2:12" x14ac:dyDescent="0.25">
      <c r="B42" s="2">
        <f t="shared" si="0"/>
        <v>37</v>
      </c>
      <c r="C42" s="14" t="s">
        <v>26</v>
      </c>
      <c r="D42" s="11" cm="1">
        <f t="array" ref="D42">_xlfn.IFS($E42="l",$E$3,$F42="l",$F$3,$G42="l",$G$3,$H42="l",$H$3,$I42="l",$I$3,ISNUMBER($I42),($I$3*$I42),AND(ISBLANK($E42),ISBLANK($F42),ISBLANK($G42),ISBLANK($H42),ISBLANK($I42)),0)</f>
        <v>1.0416666666666666E-2</v>
      </c>
      <c r="E42" s="1"/>
      <c r="F42" s="1" t="s">
        <v>94</v>
      </c>
      <c r="G42" s="1"/>
      <c r="H42" s="1"/>
      <c r="I42" s="23"/>
      <c r="J42" s="16"/>
      <c r="K42"/>
      <c r="L42" s="17">
        <f>L41+Table1[[#This Row],[Presenting Time]]</f>
        <v>0.4763888888888887</v>
      </c>
    </row>
    <row r="43" spans="2:12" x14ac:dyDescent="0.25">
      <c r="B43" s="2">
        <f t="shared" si="0"/>
        <v>38</v>
      </c>
      <c r="C43" s="14" t="s">
        <v>26</v>
      </c>
      <c r="D43" s="11" cm="1">
        <f t="array" ref="D43">_xlfn.IFS($E43="l",$E$3,$F43="l",$F$3,$G43="l",$G$3,$H43="l",$H$3,$I43="l",$I$3,ISNUMBER($I43),($I$3*$I43),AND(ISBLANK($E43),ISBLANK($F43),ISBLANK($G43),ISBLANK($H43),ISBLANK($I43)),0)</f>
        <v>3.472222222222222E-3</v>
      </c>
      <c r="E43" s="1"/>
      <c r="F43" s="1"/>
      <c r="G43" s="1" t="s">
        <v>94</v>
      </c>
      <c r="H43" s="1"/>
      <c r="I43" s="23"/>
      <c r="J43" s="16"/>
      <c r="K43"/>
      <c r="L43" s="17">
        <f>L42+Table1[[#This Row],[Presenting Time]]</f>
        <v>0.47986111111111091</v>
      </c>
    </row>
    <row r="44" spans="2:12" x14ac:dyDescent="0.25">
      <c r="B44" s="2">
        <f>B43+1</f>
        <v>39</v>
      </c>
      <c r="C44" s="14" t="s">
        <v>27</v>
      </c>
      <c r="D44" s="11" cm="1">
        <f t="array" ref="D44">_xlfn.IFS($E44="l",$E$3,$F44="l",$F$3,$G44="l",$G$3,$H44="l",$H$3,$I44="l",$I$3,ISNUMBER($I44),($I$3*$I44),AND(ISBLANK($E44),ISBLANK($F44),ISBLANK($G44),ISBLANK($H44),ISBLANK($I44)),0)</f>
        <v>3.472222222222222E-3</v>
      </c>
      <c r="E44" s="1"/>
      <c r="F44" s="1"/>
      <c r="G44" s="1" t="s">
        <v>94</v>
      </c>
      <c r="H44" s="1"/>
      <c r="I44" s="23"/>
      <c r="J44" s="16"/>
      <c r="K44"/>
      <c r="L44" s="17">
        <f>L43+Table1[[#This Row],[Presenting Time]]</f>
        <v>0.48333333333333311</v>
      </c>
    </row>
    <row r="45" spans="2:12" x14ac:dyDescent="0.25">
      <c r="B45" s="2">
        <f t="shared" si="0"/>
        <v>40</v>
      </c>
      <c r="C45" s="14" t="s">
        <v>27</v>
      </c>
      <c r="D45" s="11" cm="1">
        <f t="array" ref="D45">_xlfn.IFS($E45="l",$E$3,$F45="l",$F$3,$G45="l",$G$3,$H45="l",$H$3,$I45="l",$I$3,ISNUMBER($I45),($I$3*$I45),AND(ISBLANK($E45),ISBLANK($F45),ISBLANK($G45),ISBLANK($H45),ISBLANK($I45)),0)</f>
        <v>3.472222222222222E-3</v>
      </c>
      <c r="E45" s="1"/>
      <c r="F45" s="1"/>
      <c r="G45" s="1" t="s">
        <v>94</v>
      </c>
      <c r="H45" s="1"/>
      <c r="I45" s="23"/>
      <c r="J45" s="16"/>
      <c r="K45"/>
      <c r="L45" s="17">
        <f>L44+Table1[[#This Row],[Presenting Time]]</f>
        <v>0.48680555555555532</v>
      </c>
    </row>
    <row r="46" spans="2:12" x14ac:dyDescent="0.25">
      <c r="B46" s="2">
        <f t="shared" si="0"/>
        <v>41</v>
      </c>
      <c r="C46" s="14" t="s">
        <v>28</v>
      </c>
      <c r="D46" s="11" cm="1">
        <f t="array" ref="D46">_xlfn.IFS($E46="l",$E$3,$F46="l",$F$3,$G46="l",$G$3,$H46="l",$H$3,$I46="l",$I$3,ISNUMBER($I46),($I$3*$I46),AND(ISBLANK($E46),ISBLANK($F46),ISBLANK($G46),ISBLANK($H46),ISBLANK($I46)),0)</f>
        <v>2.0833333333333333E-3</v>
      </c>
      <c r="E46" s="1" t="s">
        <v>94</v>
      </c>
      <c r="F46" s="1"/>
      <c r="G46" s="1"/>
      <c r="H46" s="1"/>
      <c r="I46" s="23"/>
      <c r="J46" s="16"/>
      <c r="K46"/>
      <c r="L46" s="17">
        <f>L45+Table1[[#This Row],[Presenting Time]]</f>
        <v>0.48888888888888865</v>
      </c>
    </row>
    <row r="47" spans="2:12" x14ac:dyDescent="0.25">
      <c r="B47" s="2">
        <f t="shared" si="0"/>
        <v>42</v>
      </c>
      <c r="C47" s="14" t="s">
        <v>28</v>
      </c>
      <c r="D47" s="11" cm="1">
        <f t="array" ref="D47">_xlfn.IFS($E47="l",$E$3,$F47="l",$F$3,$G47="l",$G$3,$H47="l",$H$3,$I47="l",$I$3,ISNUMBER($I47),($I$3*$I47),AND(ISBLANK($E47),ISBLANK($F47),ISBLANK($G47),ISBLANK($H47),ISBLANK($I47)),0)</f>
        <v>1.0416666666666666E-2</v>
      </c>
      <c r="E47" s="1"/>
      <c r="F47" s="1" t="s">
        <v>94</v>
      </c>
      <c r="G47" s="1"/>
      <c r="H47" s="1"/>
      <c r="I47" s="23"/>
      <c r="J47" s="16"/>
      <c r="K47"/>
      <c r="L47" s="17">
        <f>L46+Table1[[#This Row],[Presenting Time]]</f>
        <v>0.49930555555555534</v>
      </c>
    </row>
    <row r="48" spans="2:12" x14ac:dyDescent="0.25">
      <c r="B48" s="2"/>
      <c r="C48" s="19" t="s">
        <v>105</v>
      </c>
      <c r="D48" s="11" cm="1">
        <f t="array" ref="D48">_xlfn.IFS($E48="l",$E$3,$F48="l",$F$3,$G48="l",$G$3,$H48="l",$H$3,$I48="l",$I$3,ISNUMBER($I48),($I$3*$I48),AND(ISBLANK($E48),ISBLANK($F48),ISBLANK($G48),ISBLANK($H48),ISBLANK($I48)),0)</f>
        <v>2.0833333333333336E-2</v>
      </c>
      <c r="E48" s="1"/>
      <c r="F48" s="1"/>
      <c r="G48" s="1"/>
      <c r="H48" s="1"/>
      <c r="I48" s="23">
        <v>30</v>
      </c>
      <c r="J48" s="16"/>
      <c r="K48"/>
      <c r="L48" s="17">
        <f>L47+Table1[[#This Row],[Presenting Time]]</f>
        <v>0.52013888888888871</v>
      </c>
    </row>
    <row r="49" spans="2:12" x14ac:dyDescent="0.25">
      <c r="B49" s="2">
        <f>B47+1</f>
        <v>43</v>
      </c>
      <c r="C49" s="10" t="s">
        <v>107</v>
      </c>
      <c r="D49" s="11" cm="1">
        <f t="array" ref="D49">_xlfn.IFS($E49="l",$E$3,$F49="l",$F$3,$G49="l",$G$3,$H49="l",$H$3,$I49="l",$I$3,ISNUMBER($I49),($I$3*$I49),AND(ISBLANK($E49),ISBLANK($F49),ISBLANK($G49),ISBLANK($H49),ISBLANK($I49)),0)</f>
        <v>1.0416666666666666E-2</v>
      </c>
      <c r="E49" s="1"/>
      <c r="F49" s="1" t="s">
        <v>94</v>
      </c>
      <c r="G49" s="1"/>
      <c r="H49" s="1"/>
      <c r="I49" s="23"/>
      <c r="J49" s="16"/>
      <c r="K49"/>
      <c r="L49" s="17">
        <f>L48+Table1[[#This Row],[Presenting Time]]</f>
        <v>0.53055555555555534</v>
      </c>
    </row>
    <row r="50" spans="2:12" x14ac:dyDescent="0.25">
      <c r="B50" s="2">
        <f t="shared" si="0"/>
        <v>44</v>
      </c>
      <c r="C50" s="14" t="s">
        <v>29</v>
      </c>
      <c r="D50" s="11" cm="1">
        <f t="array" ref="D50">_xlfn.IFS($E50="l",$E$3,$F50="l",$F$3,$G50="l",$G$3,$H50="l",$H$3,$I50="l",$I$3,ISNUMBER($I50),($I$3*$I50),AND(ISBLANK($E50),ISBLANK($F50),ISBLANK($G50),ISBLANK($H50),ISBLANK($I50)),0)</f>
        <v>2.0833333333333333E-3</v>
      </c>
      <c r="E50" s="1" t="s">
        <v>94</v>
      </c>
      <c r="F50" s="1"/>
      <c r="G50" s="1"/>
      <c r="H50" s="1"/>
      <c r="I50" s="23"/>
      <c r="J50" s="16"/>
      <c r="K50"/>
      <c r="L50" s="17">
        <f>L49+Table1[[#This Row],[Presenting Time]]</f>
        <v>0.53263888888888866</v>
      </c>
    </row>
    <row r="51" spans="2:12" x14ac:dyDescent="0.25">
      <c r="B51" s="2">
        <f t="shared" si="0"/>
        <v>45</v>
      </c>
      <c r="C51" s="14" t="s">
        <v>30</v>
      </c>
      <c r="D51" s="11" cm="1">
        <f t="array" ref="D51">_xlfn.IFS($E51="l",$E$3,$F51="l",$F$3,$G51="l",$G$3,$H51="l",$H$3,$I51="l",$I$3,ISNUMBER($I51),($I$3*$I51),AND(ISBLANK($E51),ISBLANK($F51),ISBLANK($G51),ISBLANK($H51),ISBLANK($I51)),0)</f>
        <v>2.0833333333333333E-3</v>
      </c>
      <c r="E51" s="1" t="s">
        <v>94</v>
      </c>
      <c r="F51" s="1"/>
      <c r="G51" s="1"/>
      <c r="H51" s="1"/>
      <c r="I51" s="23"/>
      <c r="J51" s="16"/>
      <c r="K51"/>
      <c r="L51" s="17">
        <f>L50+Table1[[#This Row],[Presenting Time]]</f>
        <v>0.53472222222222199</v>
      </c>
    </row>
    <row r="52" spans="2:12" x14ac:dyDescent="0.25">
      <c r="B52" s="2">
        <f t="shared" si="0"/>
        <v>46</v>
      </c>
      <c r="C52" s="10" t="s">
        <v>104</v>
      </c>
      <c r="D52" s="11" cm="1">
        <f t="array" ref="D52">_xlfn.IFS($E52="l",$E$3,$F52="l",$F$3,$G52="l",$G$3,$H52="l",$H$3,$I52="l",$I$3,ISNUMBER($I52),($I$3*$I52),AND(ISBLANK($E52),ISBLANK($F52),ISBLANK($G52),ISBLANK($H52),ISBLANK($I52)),0)</f>
        <v>4.1666666666666671E-2</v>
      </c>
      <c r="E52" s="1"/>
      <c r="F52" s="1"/>
      <c r="G52" s="1"/>
      <c r="H52" s="1"/>
      <c r="I52" s="23">
        <v>60</v>
      </c>
      <c r="J52" s="16"/>
      <c r="K52"/>
      <c r="L52" s="17">
        <f>L51+Table1[[#This Row],[Presenting Time]]</f>
        <v>0.57638888888888862</v>
      </c>
    </row>
    <row r="53" spans="2:12" x14ac:dyDescent="0.25">
      <c r="B53" s="2">
        <f t="shared" si="0"/>
        <v>47</v>
      </c>
      <c r="C53" s="14" t="s">
        <v>31</v>
      </c>
      <c r="D53" s="11" cm="1">
        <f t="array" ref="D53">_xlfn.IFS($E53="l",$E$3,$F53="l",$F$3,$G53="l",$G$3,$H53="l",$H$3,$I53="l",$I$3,ISNUMBER($I53),($I$3*$I53),AND(ISBLANK($E53),ISBLANK($F53),ISBLANK($G53),ISBLANK($H53),ISBLANK($I53)),0)</f>
        <v>2.0833333333333333E-3</v>
      </c>
      <c r="E53" s="1" t="s">
        <v>94</v>
      </c>
      <c r="F53" s="1"/>
      <c r="G53" s="1"/>
      <c r="H53" s="1"/>
      <c r="I53" s="23"/>
      <c r="J53" s="16"/>
      <c r="K53"/>
      <c r="L53" s="17">
        <f>L52+Table1[[#This Row],[Presenting Time]]</f>
        <v>0.57847222222222194</v>
      </c>
    </row>
    <row r="54" spans="2:12" x14ac:dyDescent="0.25">
      <c r="B54" s="2">
        <f t="shared" si="0"/>
        <v>48</v>
      </c>
      <c r="C54" s="14" t="s">
        <v>31</v>
      </c>
      <c r="D54" s="11" cm="1">
        <f t="array" ref="D54">_xlfn.IFS($E54="l",$E$3,$F54="l",$F$3,$G54="l",$G$3,$H54="l",$H$3,$I54="l",$I$3,ISNUMBER($I54),($I$3*$I54),AND(ISBLANK($E54),ISBLANK($F54),ISBLANK($G54),ISBLANK($H54),ISBLANK($I54)),0)</f>
        <v>1.0416666666666666E-2</v>
      </c>
      <c r="E54" s="1"/>
      <c r="F54" s="1" t="s">
        <v>94</v>
      </c>
      <c r="G54" s="1"/>
      <c r="H54" s="1"/>
      <c r="I54" s="23"/>
      <c r="J54" s="16"/>
      <c r="K54"/>
      <c r="L54" s="17">
        <f>L53+Table1[[#This Row],[Presenting Time]]</f>
        <v>0.58888888888888857</v>
      </c>
    </row>
    <row r="55" spans="2:12" x14ac:dyDescent="0.25">
      <c r="B55" s="2">
        <f t="shared" si="0"/>
        <v>49</v>
      </c>
      <c r="C55" s="14" t="s">
        <v>32</v>
      </c>
      <c r="D55" s="11" cm="1">
        <f t="array" ref="D55">_xlfn.IFS($E55="l",$E$3,$F55="l",$F$3,$G55="l",$G$3,$H55="l",$H$3,$I55="l",$I$3,ISNUMBER($I55),($I$3*$I55),AND(ISBLANK($E55),ISBLANK($F55),ISBLANK($G55),ISBLANK($H55),ISBLANK($I55)),0)</f>
        <v>3.472222222222222E-3</v>
      </c>
      <c r="E55" s="1"/>
      <c r="F55" s="1"/>
      <c r="G55" s="1" t="s">
        <v>94</v>
      </c>
      <c r="H55" s="1"/>
      <c r="I55" s="23"/>
      <c r="J55" s="16"/>
      <c r="K55"/>
      <c r="L55" s="17">
        <f>L54+Table1[[#This Row],[Presenting Time]]</f>
        <v>0.59236111111111078</v>
      </c>
    </row>
    <row r="56" spans="2:12" x14ac:dyDescent="0.25">
      <c r="B56" s="2">
        <f t="shared" si="0"/>
        <v>50</v>
      </c>
      <c r="C56" s="14" t="s">
        <v>33</v>
      </c>
      <c r="D56" s="11" cm="1">
        <f t="array" ref="D56">_xlfn.IFS($E56="l",$E$3,$F56="l",$F$3,$G56="l",$G$3,$H56="l",$H$3,$I56="l",$I$3,ISNUMBER($I56),($I$3*$I56),AND(ISBLANK($E56),ISBLANK($F56),ISBLANK($G56),ISBLANK($H56),ISBLANK($I56)),0)</f>
        <v>3.472222222222222E-3</v>
      </c>
      <c r="E56" s="1"/>
      <c r="F56" s="1"/>
      <c r="G56" s="1" t="s">
        <v>94</v>
      </c>
      <c r="H56" s="1"/>
      <c r="I56" s="23"/>
      <c r="J56" s="16"/>
      <c r="K56"/>
      <c r="L56" s="17">
        <f>L55+Table1[[#This Row],[Presenting Time]]</f>
        <v>0.59583333333333299</v>
      </c>
    </row>
    <row r="57" spans="2:12" x14ac:dyDescent="0.25">
      <c r="B57" s="2">
        <f t="shared" si="0"/>
        <v>51</v>
      </c>
      <c r="C57" s="14" t="s">
        <v>34</v>
      </c>
      <c r="D57" s="11" cm="1">
        <f t="array" ref="D57">_xlfn.IFS($E57="l",$E$3,$F57="l",$F$3,$G57="l",$G$3,$H57="l",$H$3,$I57="l",$I$3,ISNUMBER($I57),($I$3*$I57),AND(ISBLANK($E57),ISBLANK($F57),ISBLANK($G57),ISBLANK($H57),ISBLANK($I57)),0)</f>
        <v>3.472222222222222E-3</v>
      </c>
      <c r="E57" s="1"/>
      <c r="F57" s="1"/>
      <c r="G57" s="1" t="s">
        <v>94</v>
      </c>
      <c r="H57" s="1"/>
      <c r="I57" s="23"/>
      <c r="J57" s="16"/>
      <c r="K57"/>
      <c r="L57" s="17">
        <f>L56+Table1[[#This Row],[Presenting Time]]</f>
        <v>0.5993055555555552</v>
      </c>
    </row>
    <row r="58" spans="2:12" x14ac:dyDescent="0.25">
      <c r="B58" s="2">
        <f t="shared" si="0"/>
        <v>52</v>
      </c>
      <c r="C58" s="10" t="s">
        <v>118</v>
      </c>
      <c r="D58" s="11" cm="1">
        <f t="array" ref="D58">_xlfn.IFS($E58="l",$E$3,$F58="l",$F$3,$G58="l",$G$3,$H58="l",$H$3,$I58="l",$I$3,ISNUMBER($I58),($I$3*$I58),AND(ISBLANK($E58),ISBLANK($F58),ISBLANK($G58),ISBLANK($H58),ISBLANK($I58)),0)</f>
        <v>1.0416666666666668E-2</v>
      </c>
      <c r="E58" s="1"/>
      <c r="F58" s="1"/>
      <c r="G58" s="1"/>
      <c r="H58" s="1"/>
      <c r="I58" s="23">
        <v>15</v>
      </c>
      <c r="J58" s="16"/>
      <c r="K58"/>
      <c r="L58" s="17">
        <f>L57+Table1[[#This Row],[Presenting Time]]</f>
        <v>0.60972222222222183</v>
      </c>
    </row>
    <row r="59" spans="2:12" x14ac:dyDescent="0.25">
      <c r="B59" s="2">
        <f t="shared" si="0"/>
        <v>53</v>
      </c>
      <c r="C59" s="14" t="s">
        <v>18</v>
      </c>
      <c r="D59" s="11" cm="1">
        <f t="array" ref="D59">_xlfn.IFS($E59="l",$E$3,$F59="l",$F$3,$G59="l",$G$3,$H59="l",$H$3,$I59="l",$I$3,ISNUMBER($I59),($I$3*$I59),AND(ISBLANK($E59),ISBLANK($F59),ISBLANK($G59),ISBLANK($H59),ISBLANK($I59)),0)</f>
        <v>3.472222222222222E-3</v>
      </c>
      <c r="E59" s="1"/>
      <c r="F59" s="1"/>
      <c r="G59" s="1" t="s">
        <v>94</v>
      </c>
      <c r="H59" s="1"/>
      <c r="I59" s="23"/>
      <c r="J59" s="16"/>
      <c r="K59"/>
      <c r="L59" s="17">
        <f>L58+Table1[[#This Row],[Presenting Time]]</f>
        <v>0.61319444444444404</v>
      </c>
    </row>
    <row r="60" spans="2:12" x14ac:dyDescent="0.25">
      <c r="B60" s="2"/>
      <c r="C60" s="19" t="s">
        <v>109</v>
      </c>
      <c r="D60" s="11" cm="1">
        <f t="array" ref="D60">_xlfn.IFS($E60="l",$E$3,$F60="l",$F$3,$G60="l",$G$3,$H60="l",$H$3,$I60="l",$I$3,ISNUMBER($I60),($I$3*$I60),AND(ISBLANK($E60),ISBLANK($F60),ISBLANK($G60),ISBLANK($H60),ISBLANK($I60)),0)</f>
        <v>1.0416666666666668E-2</v>
      </c>
      <c r="E60" s="1"/>
      <c r="F60" s="1"/>
      <c r="G60" s="1"/>
      <c r="H60" s="1"/>
      <c r="I60" s="23">
        <v>15</v>
      </c>
      <c r="J60" s="16"/>
      <c r="K60"/>
      <c r="L60" s="17">
        <f>L59+Table1[[#This Row],[Presenting Time]]</f>
        <v>0.62361111111111067</v>
      </c>
    </row>
    <row r="61" spans="2:12" x14ac:dyDescent="0.25">
      <c r="B61" s="2">
        <f>B59+1</f>
        <v>54</v>
      </c>
      <c r="C61" s="4" t="s">
        <v>35</v>
      </c>
      <c r="D61" s="11" cm="1">
        <f t="array" ref="D61">_xlfn.IFS($E61="l",$E$3,$F61="l",$F$3,$G61="l",$G$3,$H61="l",$H$3,$I61="l",$I$3,ISNUMBER($I61),($I$3*$I61),AND(ISBLANK($E61),ISBLANK($F61),ISBLANK($G61),ISBLANK($H61),ISBLANK($I61)),0)</f>
        <v>2.0833333333333333E-3</v>
      </c>
      <c r="E61" s="1" t="s">
        <v>94</v>
      </c>
      <c r="F61" s="1"/>
      <c r="G61" s="1"/>
      <c r="H61" s="1"/>
      <c r="I61" s="23"/>
      <c r="J61" s="16">
        <f>SUM(D61:D72)</f>
        <v>4.583333333333333E-2</v>
      </c>
      <c r="K61" s="13"/>
      <c r="L61" s="17">
        <f>L60+Table1[[#This Row],[Presenting Time]]</f>
        <v>0.625694444444444</v>
      </c>
    </row>
    <row r="62" spans="2:12" x14ac:dyDescent="0.25">
      <c r="B62" s="2">
        <f t="shared" si="0"/>
        <v>55</v>
      </c>
      <c r="C62" s="14" t="s">
        <v>36</v>
      </c>
      <c r="D62" s="11" cm="1">
        <f t="array" ref="D62">_xlfn.IFS($E62="l",$E$3,$F62="l",$F$3,$G62="l",$G$3,$H62="l",$H$3,$I62="l",$I$3,ISNUMBER($I62),($I$3*$I62),AND(ISBLANK($E62),ISBLANK($F62),ISBLANK($G62),ISBLANK($H62),ISBLANK($I62)),0)</f>
        <v>3.472222222222222E-3</v>
      </c>
      <c r="E62" s="1"/>
      <c r="F62" s="1"/>
      <c r="G62" s="1" t="s">
        <v>94</v>
      </c>
      <c r="H62" s="1"/>
      <c r="I62" s="23"/>
      <c r="J62" s="16"/>
      <c r="K62"/>
      <c r="L62" s="17">
        <f>L61+Table1[[#This Row],[Presenting Time]]</f>
        <v>0.62916666666666621</v>
      </c>
    </row>
    <row r="63" spans="2:12" x14ac:dyDescent="0.25">
      <c r="B63" s="2">
        <f t="shared" si="0"/>
        <v>56</v>
      </c>
      <c r="C63" s="14" t="s">
        <v>37</v>
      </c>
      <c r="D63" s="11" cm="1">
        <f t="array" ref="D63">_xlfn.IFS($E63="l",$E$3,$F63="l",$F$3,$G63="l",$G$3,$H63="l",$H$3,$I63="l",$I$3,ISNUMBER($I63),($I$3*$I63),AND(ISBLANK($E63),ISBLANK($F63),ISBLANK($G63),ISBLANK($H63),ISBLANK($I63)),0)</f>
        <v>2.0833333333333333E-3</v>
      </c>
      <c r="E63" s="1" t="s">
        <v>94</v>
      </c>
      <c r="F63" s="1"/>
      <c r="G63" s="1"/>
      <c r="H63" s="1"/>
      <c r="I63" s="23"/>
      <c r="J63" s="16"/>
      <c r="K63"/>
      <c r="L63" s="17">
        <f>L62+Table1[[#This Row],[Presenting Time]]</f>
        <v>0.63124999999999953</v>
      </c>
    </row>
    <row r="64" spans="2:12" x14ac:dyDescent="0.25">
      <c r="B64" s="2">
        <f t="shared" si="0"/>
        <v>57</v>
      </c>
      <c r="C64" s="14" t="s">
        <v>38</v>
      </c>
      <c r="D64" s="11" cm="1">
        <f t="array" ref="D64">_xlfn.IFS($E64="l",$E$3,$F64="l",$F$3,$G64="l",$G$3,$H64="l",$H$3,$I64="l",$I$3,ISNUMBER($I64),($I$3*$I64),AND(ISBLANK($E64),ISBLANK($F64),ISBLANK($G64),ISBLANK($H64),ISBLANK($I64)),0)</f>
        <v>2.0833333333333333E-3</v>
      </c>
      <c r="E64" s="1" t="s">
        <v>94</v>
      </c>
      <c r="F64" s="1"/>
      <c r="G64" s="1"/>
      <c r="H64" s="1"/>
      <c r="I64" s="23"/>
      <c r="J64" s="16"/>
      <c r="K64"/>
      <c r="L64" s="17">
        <f>L63+Table1[[#This Row],[Presenting Time]]</f>
        <v>0.63333333333333286</v>
      </c>
    </row>
    <row r="65" spans="2:12" x14ac:dyDescent="0.25">
      <c r="B65" s="2">
        <f t="shared" si="0"/>
        <v>58</v>
      </c>
      <c r="C65" s="14" t="s">
        <v>39</v>
      </c>
      <c r="D65" s="11" cm="1">
        <f t="array" ref="D65">_xlfn.IFS($E65="l",$E$3,$F65="l",$F$3,$G65="l",$G$3,$H65="l",$H$3,$I65="l",$I$3,ISNUMBER($I65),($I$3*$I65),AND(ISBLANK($E65),ISBLANK($F65),ISBLANK($G65),ISBLANK($H65),ISBLANK($I65)),0)</f>
        <v>2.0833333333333333E-3</v>
      </c>
      <c r="E65" s="1" t="s">
        <v>94</v>
      </c>
      <c r="F65" s="1"/>
      <c r="G65" s="1"/>
      <c r="H65" s="1"/>
      <c r="I65" s="23"/>
      <c r="J65" s="16"/>
      <c r="K65"/>
      <c r="L65" s="17">
        <f>L64+Table1[[#This Row],[Presenting Time]]</f>
        <v>0.63541666666666619</v>
      </c>
    </row>
    <row r="66" spans="2:12" x14ac:dyDescent="0.25">
      <c r="B66" s="2">
        <f t="shared" si="0"/>
        <v>59</v>
      </c>
      <c r="C66" s="14" t="s">
        <v>40</v>
      </c>
      <c r="D66" s="11" cm="1">
        <f t="array" ref="D66">_xlfn.IFS($E66="l",$E$3,$F66="l",$F$3,$G66="l",$G$3,$H66="l",$H$3,$I66="l",$I$3,ISNUMBER($I66),($I$3*$I66),AND(ISBLANK($E66),ISBLANK($F66),ISBLANK($G66),ISBLANK($H66),ISBLANK($I66)),0)</f>
        <v>2.0833333333333333E-3</v>
      </c>
      <c r="E66" s="1" t="s">
        <v>94</v>
      </c>
      <c r="F66" s="1"/>
      <c r="G66" s="1"/>
      <c r="H66" s="1"/>
      <c r="I66" s="23"/>
      <c r="J66" s="16"/>
      <c r="K66"/>
      <c r="L66" s="17">
        <f>L65+Table1[[#This Row],[Presenting Time]]</f>
        <v>0.63749999999999951</v>
      </c>
    </row>
    <row r="67" spans="2:12" x14ac:dyDescent="0.25">
      <c r="B67" s="2">
        <f t="shared" si="0"/>
        <v>60</v>
      </c>
      <c r="C67" s="14" t="s">
        <v>40</v>
      </c>
      <c r="D67" s="11" cm="1">
        <f t="array" ref="D67">_xlfn.IFS($E67="l",$E$3,$F67="l",$F$3,$G67="l",$G$3,$H67="l",$H$3,$I67="l",$I$3,ISNUMBER($I67),($I$3*$I67),AND(ISBLANK($E67),ISBLANK($F67),ISBLANK($G67),ISBLANK($H67),ISBLANK($I67)),0)</f>
        <v>1.0416666666666666E-2</v>
      </c>
      <c r="E67" s="1"/>
      <c r="F67" s="1" t="s">
        <v>94</v>
      </c>
      <c r="G67" s="1"/>
      <c r="H67" s="1"/>
      <c r="I67" s="23"/>
      <c r="J67" s="16"/>
      <c r="K67"/>
      <c r="L67" s="17">
        <f>L66+Table1[[#This Row],[Presenting Time]]</f>
        <v>0.64791666666666614</v>
      </c>
    </row>
    <row r="68" spans="2:12" x14ac:dyDescent="0.25">
      <c r="B68" s="2">
        <f t="shared" si="0"/>
        <v>61</v>
      </c>
      <c r="C68" s="14" t="s">
        <v>41</v>
      </c>
      <c r="D68" s="11" cm="1">
        <f t="array" ref="D68">_xlfn.IFS($E68="l",$E$3,$F68="l",$F$3,$G68="l",$G$3,$H68="l",$H$3,$I68="l",$I$3,ISNUMBER($I68),($I$3*$I68),AND(ISBLANK($E68),ISBLANK($F68),ISBLANK($G68),ISBLANK($H68),ISBLANK($I68)),0)</f>
        <v>3.472222222222222E-3</v>
      </c>
      <c r="E68" s="1"/>
      <c r="F68" s="1"/>
      <c r="G68" s="1" t="s">
        <v>94</v>
      </c>
      <c r="H68" s="1"/>
      <c r="I68" s="23"/>
      <c r="J68" s="16"/>
      <c r="K68"/>
      <c r="L68" s="17">
        <f>L67+Table1[[#This Row],[Presenting Time]]</f>
        <v>0.65138888888888835</v>
      </c>
    </row>
    <row r="69" spans="2:12" x14ac:dyDescent="0.25">
      <c r="B69" s="2">
        <f t="shared" si="0"/>
        <v>62</v>
      </c>
      <c r="C69" s="14" t="s">
        <v>42</v>
      </c>
      <c r="D69" s="11" cm="1">
        <f t="array" ref="D69">_xlfn.IFS($E69="l",$E$3,$F69="l",$F$3,$G69="l",$G$3,$H69="l",$H$3,$I69="l",$I$3,ISNUMBER($I69),($I$3*$I69),AND(ISBLANK($E69),ISBLANK($F69),ISBLANK($G69),ISBLANK($H69),ISBLANK($I69)),0)</f>
        <v>2.0833333333333333E-3</v>
      </c>
      <c r="E69" s="1" t="s">
        <v>94</v>
      </c>
      <c r="F69" s="1"/>
      <c r="G69" s="1"/>
      <c r="H69" s="1"/>
      <c r="I69" s="23"/>
      <c r="J69" s="16"/>
      <c r="K69"/>
      <c r="L69" s="17">
        <f>L68+Table1[[#This Row],[Presenting Time]]</f>
        <v>0.65347222222222168</v>
      </c>
    </row>
    <row r="70" spans="2:12" x14ac:dyDescent="0.25">
      <c r="B70" s="2">
        <f t="shared" si="0"/>
        <v>63</v>
      </c>
      <c r="C70" s="14" t="s">
        <v>43</v>
      </c>
      <c r="D70" s="11" cm="1">
        <f t="array" ref="D70">_xlfn.IFS($E70="l",$E$3,$F70="l",$F$3,$G70="l",$G$3,$H70="l",$H$3,$I70="l",$I$3,ISNUMBER($I70),($I$3*$I70),AND(ISBLANK($E70),ISBLANK($F70),ISBLANK($G70),ISBLANK($H70),ISBLANK($I70)),0)</f>
        <v>1.0416666666666666E-2</v>
      </c>
      <c r="E70" s="1"/>
      <c r="F70" s="1" t="s">
        <v>94</v>
      </c>
      <c r="G70" s="1"/>
      <c r="H70" s="1"/>
      <c r="I70" s="23"/>
      <c r="J70" s="16"/>
      <c r="K70"/>
      <c r="L70" s="17">
        <f>L69+Table1[[#This Row],[Presenting Time]]</f>
        <v>0.66388888888888831</v>
      </c>
    </row>
    <row r="71" spans="2:12" x14ac:dyDescent="0.25">
      <c r="B71" s="2">
        <f t="shared" si="0"/>
        <v>64</v>
      </c>
      <c r="C71" s="14" t="s">
        <v>44</v>
      </c>
      <c r="D71" s="11" cm="1">
        <f t="array" ref="D71">_xlfn.IFS($E71="l",$E$3,$F71="l",$F$3,$G71="l",$G$3,$H71="l",$H$3,$I71="l",$I$3,ISNUMBER($I71),($I$3*$I71),AND(ISBLANK($E71),ISBLANK($F71),ISBLANK($G71),ISBLANK($H71),ISBLANK($I71)),0)</f>
        <v>2.0833333333333333E-3</v>
      </c>
      <c r="E71" s="1" t="s">
        <v>94</v>
      </c>
      <c r="F71" s="1"/>
      <c r="G71" s="1"/>
      <c r="H71" s="1"/>
      <c r="I71" s="23"/>
      <c r="J71" s="16"/>
      <c r="K71"/>
      <c r="L71" s="17">
        <f>L70+Table1[[#This Row],[Presenting Time]]</f>
        <v>0.66597222222222163</v>
      </c>
    </row>
    <row r="72" spans="2:12" x14ac:dyDescent="0.25">
      <c r="B72" s="2">
        <f t="shared" si="0"/>
        <v>65</v>
      </c>
      <c r="C72" s="14" t="s">
        <v>35</v>
      </c>
      <c r="D72" s="11" cm="1">
        <f t="array" ref="D72">_xlfn.IFS($E72="l",$E$3,$F72="l",$F$3,$G72="l",$G$3,$H72="l",$H$3,$I72="l",$I$3,ISNUMBER($I72),($I$3*$I72),AND(ISBLANK($E72),ISBLANK($F72),ISBLANK($G72),ISBLANK($H72),ISBLANK($I72)),0)</f>
        <v>3.472222222222222E-3</v>
      </c>
      <c r="E72" s="1"/>
      <c r="F72" s="1"/>
      <c r="G72" s="1" t="s">
        <v>94</v>
      </c>
      <c r="H72" s="1"/>
      <c r="I72" s="23"/>
      <c r="J72" s="16"/>
      <c r="K72"/>
      <c r="L72" s="17">
        <f>L71+Table1[[#This Row],[Presenting Time]]</f>
        <v>0.66944444444444384</v>
      </c>
    </row>
    <row r="73" spans="2:12" x14ac:dyDescent="0.25">
      <c r="B73" s="2">
        <f t="shared" si="0"/>
        <v>66</v>
      </c>
      <c r="C73" s="4" t="s">
        <v>45</v>
      </c>
      <c r="D73" s="11" cm="1">
        <f t="array" ref="D73">_xlfn.IFS($E73="l",$E$3,$F73="l",$F$3,$G73="l",$G$3,$H73="l",$H$3,$I73="l",$I$3,ISNUMBER($I73),($I$3*$I73),AND(ISBLANK($E73),ISBLANK($F73),ISBLANK($G73),ISBLANK($H73),ISBLANK($I73)),0)</f>
        <v>2.0833333333333333E-3</v>
      </c>
      <c r="E73" s="1" t="s">
        <v>94</v>
      </c>
      <c r="F73" s="1"/>
      <c r="G73" s="1"/>
      <c r="H73" s="1"/>
      <c r="I73" s="23"/>
      <c r="J73" s="16">
        <f>SUM(D73:D111)</f>
        <v>0.11458333333333341</v>
      </c>
      <c r="K73"/>
      <c r="L73" s="17">
        <f>L72+Table1[[#This Row],[Presenting Time]]</f>
        <v>0.67152777777777717</v>
      </c>
    </row>
    <row r="74" spans="2:12" x14ac:dyDescent="0.25">
      <c r="B74" s="2">
        <f t="shared" si="0"/>
        <v>67</v>
      </c>
      <c r="C74" s="14" t="s">
        <v>45</v>
      </c>
      <c r="D74" s="11" cm="1">
        <f t="array" ref="D74">_xlfn.IFS($E74="l",$E$3,$F74="l",$F$3,$G74="l",$G$3,$H74="l",$H$3,$I74="l",$I$3,ISNUMBER($I74),($I$3*$I74),AND(ISBLANK($E74),ISBLANK($F74),ISBLANK($G74),ISBLANK($H74),ISBLANK($I74)),0)</f>
        <v>3.472222222222222E-3</v>
      </c>
      <c r="E74" s="1"/>
      <c r="F74" s="1"/>
      <c r="G74" s="1" t="s">
        <v>94</v>
      </c>
      <c r="H74" s="1"/>
      <c r="I74" s="23"/>
      <c r="J74" s="16"/>
      <c r="K74"/>
      <c r="L74" s="17">
        <f>L73+Table1[[#This Row],[Presenting Time]]</f>
        <v>0.67499999999999938</v>
      </c>
    </row>
    <row r="75" spans="2:12" x14ac:dyDescent="0.25">
      <c r="B75" s="2">
        <f t="shared" si="0"/>
        <v>68</v>
      </c>
      <c r="C75" s="14" t="s">
        <v>46</v>
      </c>
      <c r="D75" s="11" cm="1">
        <f t="array" ref="D75">_xlfn.IFS($E75="l",$E$3,$F75="l",$F$3,$G75="l",$G$3,$H75="l",$H$3,$I75="l",$I$3,ISNUMBER($I75),($I$3*$I75),AND(ISBLANK($E75),ISBLANK($F75),ISBLANK($G75),ISBLANK($H75),ISBLANK($I75)),0)</f>
        <v>2.0833333333333333E-3</v>
      </c>
      <c r="E75" s="1" t="s">
        <v>94</v>
      </c>
      <c r="F75" s="1"/>
      <c r="G75" s="1"/>
      <c r="H75" s="1"/>
      <c r="I75" s="23"/>
      <c r="J75" s="16"/>
      <c r="K75"/>
      <c r="L75" s="17">
        <f>L74+Table1[[#This Row],[Presenting Time]]</f>
        <v>0.6770833333333327</v>
      </c>
    </row>
    <row r="76" spans="2:12" x14ac:dyDescent="0.25">
      <c r="B76" s="2">
        <f t="shared" si="0"/>
        <v>69</v>
      </c>
      <c r="C76" s="14" t="s">
        <v>47</v>
      </c>
      <c r="D76" s="11" cm="1">
        <f t="array" ref="D76">_xlfn.IFS($E76="l",$E$3,$F76="l",$F$3,$G76="l",$G$3,$H76="l",$H$3,$I76="l",$I$3,ISNUMBER($I76),($I$3*$I76),AND(ISBLANK($E76),ISBLANK($F76),ISBLANK($G76),ISBLANK($H76),ISBLANK($I76)),0)</f>
        <v>3.472222222222222E-3</v>
      </c>
      <c r="E76" s="1"/>
      <c r="F76" s="1"/>
      <c r="G76" s="1" t="s">
        <v>94</v>
      </c>
      <c r="H76" s="1"/>
      <c r="I76" s="23"/>
      <c r="J76" s="16"/>
      <c r="K76"/>
      <c r="L76" s="17">
        <f>L75+Table1[[#This Row],[Presenting Time]]</f>
        <v>0.68055555555555491</v>
      </c>
    </row>
    <row r="77" spans="2:12" x14ac:dyDescent="0.25">
      <c r="B77" s="2">
        <f t="shared" ref="B77:B145" si="1">B76+1</f>
        <v>70</v>
      </c>
      <c r="C77" s="14" t="s">
        <v>48</v>
      </c>
      <c r="D77" s="11" cm="1">
        <f t="array" ref="D77">_xlfn.IFS($E77="l",$E$3,$F77="l",$F$3,$G77="l",$G$3,$H77="l",$H$3,$I77="l",$I$3,ISNUMBER($I77),($I$3*$I77),AND(ISBLANK($E77),ISBLANK($F77),ISBLANK($G77),ISBLANK($H77),ISBLANK($I77)),0)</f>
        <v>2.0833333333333333E-3</v>
      </c>
      <c r="E77" s="1" t="s">
        <v>94</v>
      </c>
      <c r="F77" s="1"/>
      <c r="G77" s="1"/>
      <c r="H77" s="1"/>
      <c r="I77" s="23"/>
      <c r="J77" s="16"/>
      <c r="K77"/>
      <c r="L77" s="17">
        <f>L76+Table1[[#This Row],[Presenting Time]]</f>
        <v>0.68263888888888824</v>
      </c>
    </row>
    <row r="78" spans="2:12" x14ac:dyDescent="0.25">
      <c r="B78" s="2">
        <f t="shared" si="1"/>
        <v>71</v>
      </c>
      <c r="C78" s="14" t="s">
        <v>49</v>
      </c>
      <c r="D78" s="11" cm="1">
        <f t="array" ref="D78">_xlfn.IFS($E78="l",$E$3,$F78="l",$F$3,$G78="l",$G$3,$H78="l",$H$3,$I78="l",$I$3,ISNUMBER($I78),($I$3*$I78),AND(ISBLANK($E78),ISBLANK($F78),ISBLANK($G78),ISBLANK($H78),ISBLANK($I78)),0)</f>
        <v>2.0833333333333333E-3</v>
      </c>
      <c r="E78" s="1" t="s">
        <v>94</v>
      </c>
      <c r="F78" s="1"/>
      <c r="G78" s="1"/>
      <c r="H78" s="1"/>
      <c r="I78" s="23"/>
      <c r="J78" s="16"/>
      <c r="K78"/>
      <c r="L78" s="17">
        <f>L77+Table1[[#This Row],[Presenting Time]]</f>
        <v>0.68472222222222157</v>
      </c>
    </row>
    <row r="79" spans="2:12" x14ac:dyDescent="0.25">
      <c r="B79" s="2">
        <f t="shared" si="1"/>
        <v>72</v>
      </c>
      <c r="C79" s="14" t="s">
        <v>50</v>
      </c>
      <c r="D79" s="11" cm="1">
        <f t="array" ref="D79">_xlfn.IFS($E79="l",$E$3,$F79="l",$F$3,$G79="l",$G$3,$H79="l",$H$3,$I79="l",$I$3,ISNUMBER($I79),($I$3*$I79),AND(ISBLANK($E79),ISBLANK($F79),ISBLANK($G79),ISBLANK($H79),ISBLANK($I79)),0)</f>
        <v>2.0833333333333333E-3</v>
      </c>
      <c r="E79" s="1" t="s">
        <v>94</v>
      </c>
      <c r="F79" s="1"/>
      <c r="G79" s="1"/>
      <c r="H79" s="1"/>
      <c r="I79" s="23"/>
      <c r="J79" s="16"/>
      <c r="K79"/>
      <c r="L79" s="17">
        <f>L78+Table1[[#This Row],[Presenting Time]]</f>
        <v>0.68680555555555489</v>
      </c>
    </row>
    <row r="80" spans="2:12" x14ac:dyDescent="0.25">
      <c r="B80" s="24"/>
      <c r="C80" s="28" t="s">
        <v>110</v>
      </c>
      <c r="D80" s="24"/>
      <c r="E80" s="25"/>
      <c r="F80" s="25"/>
      <c r="G80" s="25"/>
      <c r="H80" s="25"/>
      <c r="I80" s="26"/>
      <c r="J80" s="16"/>
      <c r="K80"/>
      <c r="L80" s="17"/>
    </row>
    <row r="81" spans="2:12" x14ac:dyDescent="0.25">
      <c r="B81" s="24"/>
      <c r="C81" s="28" t="s">
        <v>111</v>
      </c>
      <c r="D81" s="24"/>
      <c r="E81" s="25"/>
      <c r="F81" s="25"/>
      <c r="G81" s="25"/>
      <c r="H81" s="25"/>
      <c r="I81" s="26"/>
      <c r="J81" s="16"/>
      <c r="K81" t="s">
        <v>113</v>
      </c>
      <c r="L81" s="17">
        <v>0.33333333333333331</v>
      </c>
    </row>
    <row r="82" spans="2:12" x14ac:dyDescent="0.25">
      <c r="B82" s="2">
        <f>B79+1</f>
        <v>73</v>
      </c>
      <c r="C82" s="14" t="s">
        <v>51</v>
      </c>
      <c r="D82" s="11" cm="1">
        <f t="array" ref="D82">_xlfn.IFS($E82="l",$E$3,$F82="l",$F$3,$G82="l",$G$3,$H82="l",$H$3,$I82="l",$I$3,ISNUMBER($I82),($I$3*$I82),AND(ISBLANK($E82),ISBLANK($F82),ISBLANK($G82),ISBLANK($H82),ISBLANK($I82)),0)</f>
        <v>2.0833333333333333E-3</v>
      </c>
      <c r="E82" s="1" t="s">
        <v>94</v>
      </c>
      <c r="F82" s="1"/>
      <c r="G82" s="1"/>
      <c r="H82" s="1"/>
      <c r="I82" s="23"/>
      <c r="J82" s="16"/>
      <c r="K82"/>
      <c r="L82" s="17">
        <f>L81+Table1[[#This Row],[Presenting Time]]</f>
        <v>0.33541666666666664</v>
      </c>
    </row>
    <row r="83" spans="2:12" x14ac:dyDescent="0.25">
      <c r="B83" s="2">
        <f>B82+1</f>
        <v>74</v>
      </c>
      <c r="C83" s="14" t="s">
        <v>52</v>
      </c>
      <c r="D83" s="11" cm="1">
        <f t="array" ref="D83">_xlfn.IFS($E83="l",$E$3,$F83="l",$F$3,$G83="l",$G$3,$H83="l",$H$3,$I83="l",$I$3,ISNUMBER($I83),($I$3*$I83),AND(ISBLANK($E83),ISBLANK($F83),ISBLANK($G83),ISBLANK($H83),ISBLANK($I83)),0)</f>
        <v>3.472222222222222E-3</v>
      </c>
      <c r="E83" s="1"/>
      <c r="F83" s="1"/>
      <c r="G83" s="1" t="s">
        <v>94</v>
      </c>
      <c r="H83" s="1"/>
      <c r="I83" s="23"/>
      <c r="J83" s="16"/>
      <c r="K83"/>
      <c r="L83" s="17">
        <f>L82+Table1[[#This Row],[Presenting Time]]</f>
        <v>0.33888888888888885</v>
      </c>
    </row>
    <row r="84" spans="2:12" x14ac:dyDescent="0.25">
      <c r="B84" s="2">
        <f t="shared" si="1"/>
        <v>75</v>
      </c>
      <c r="C84" s="14" t="s">
        <v>53</v>
      </c>
      <c r="D84" s="11" cm="1">
        <f t="array" ref="D84">_xlfn.IFS($E84="l",$E$3,$F84="l",$F$3,$G84="l",$G$3,$H84="l",$H$3,$I84="l",$I$3,ISNUMBER($I84),($I$3*$I84),AND(ISBLANK($E84),ISBLANK($F84),ISBLANK($G84),ISBLANK($H84),ISBLANK($I84)),0)</f>
        <v>3.472222222222222E-3</v>
      </c>
      <c r="E84" s="1"/>
      <c r="F84" s="1"/>
      <c r="G84" s="1" t="s">
        <v>94</v>
      </c>
      <c r="H84" s="1"/>
      <c r="I84" s="23"/>
      <c r="J84" s="16"/>
      <c r="K84"/>
      <c r="L84" s="17">
        <f>L83+Table1[[#This Row],[Presenting Time]]</f>
        <v>0.34236111111111106</v>
      </c>
    </row>
    <row r="85" spans="2:12" x14ac:dyDescent="0.25">
      <c r="B85" s="2">
        <f t="shared" si="1"/>
        <v>76</v>
      </c>
      <c r="C85" s="14" t="s">
        <v>54</v>
      </c>
      <c r="D85" s="11" cm="1">
        <f t="array" ref="D85">_xlfn.IFS($E85="l",$E$3,$F85="l",$F$3,$G85="l",$G$3,$H85="l",$H$3,$I85="l",$I$3,ISNUMBER($I85),($I$3*$I85),AND(ISBLANK($E85),ISBLANK($F85),ISBLANK($G85),ISBLANK($H85),ISBLANK($I85)),0)</f>
        <v>3.472222222222222E-3</v>
      </c>
      <c r="E85" s="1"/>
      <c r="F85" s="1"/>
      <c r="G85" s="1" t="s">
        <v>94</v>
      </c>
      <c r="H85" s="1"/>
      <c r="I85" s="23"/>
      <c r="J85" s="16"/>
      <c r="K85"/>
      <c r="L85" s="17">
        <f>L84+Table1[[#This Row],[Presenting Time]]</f>
        <v>0.34583333333333327</v>
      </c>
    </row>
    <row r="86" spans="2:12" x14ac:dyDescent="0.25">
      <c r="B86" s="2">
        <f t="shared" si="1"/>
        <v>77</v>
      </c>
      <c r="C86" s="14" t="s">
        <v>55</v>
      </c>
      <c r="D86" s="11" cm="1">
        <f t="array" ref="D86">_xlfn.IFS($E86="l",$E$3,$F86="l",$F$3,$G86="l",$G$3,$H86="l",$H$3,$I86="l",$I$3,ISNUMBER($I86),($I$3*$I86),AND(ISBLANK($E86),ISBLANK($F86),ISBLANK($G86),ISBLANK($H86),ISBLANK($I86)),0)</f>
        <v>3.472222222222222E-3</v>
      </c>
      <c r="E86" s="1"/>
      <c r="F86" s="1"/>
      <c r="G86" s="1" t="s">
        <v>94</v>
      </c>
      <c r="H86" s="1"/>
      <c r="I86" s="23"/>
      <c r="J86" s="16"/>
      <c r="K86"/>
      <c r="L86" s="17">
        <f>L85+Table1[[#This Row],[Presenting Time]]</f>
        <v>0.34930555555555548</v>
      </c>
    </row>
    <row r="87" spans="2:12" x14ac:dyDescent="0.25">
      <c r="B87" s="2">
        <f t="shared" si="1"/>
        <v>78</v>
      </c>
      <c r="C87" s="14" t="s">
        <v>56</v>
      </c>
      <c r="D87" s="11" cm="1">
        <f t="array" ref="D87">_xlfn.IFS($E87="l",$E$3,$F87="l",$F$3,$G87="l",$G$3,$H87="l",$H$3,$I87="l",$I$3,ISNUMBER($I87),($I$3*$I87),AND(ISBLANK($E87),ISBLANK($F87),ISBLANK($G87),ISBLANK($H87),ISBLANK($I87)),0)</f>
        <v>3.472222222222222E-3</v>
      </c>
      <c r="E87" s="1"/>
      <c r="F87" s="1"/>
      <c r="G87" s="1" t="s">
        <v>94</v>
      </c>
      <c r="H87" s="1"/>
      <c r="I87" s="23"/>
      <c r="J87" s="16"/>
      <c r="K87"/>
      <c r="L87" s="17">
        <f>L86+Table1[[#This Row],[Presenting Time]]</f>
        <v>0.35277777777777769</v>
      </c>
    </row>
    <row r="88" spans="2:12" x14ac:dyDescent="0.25">
      <c r="B88" s="2">
        <f t="shared" si="1"/>
        <v>79</v>
      </c>
      <c r="C88" s="14" t="s">
        <v>57</v>
      </c>
      <c r="D88" s="11" cm="1">
        <f t="array" ref="D88">_xlfn.IFS($E88="l",$E$3,$F88="l",$F$3,$G88="l",$G$3,$H88="l",$H$3,$I88="l",$I$3,ISNUMBER($I88),($I$3*$I88),AND(ISBLANK($E88),ISBLANK($F88),ISBLANK($G88),ISBLANK($H88),ISBLANK($I88)),0)</f>
        <v>2.0833333333333333E-3</v>
      </c>
      <c r="E88" s="1" t="s">
        <v>94</v>
      </c>
      <c r="F88" s="1"/>
      <c r="G88" s="1"/>
      <c r="H88" s="1"/>
      <c r="I88" s="23"/>
      <c r="J88" s="16"/>
      <c r="K88"/>
      <c r="L88" s="17">
        <f>L87+Table1[[#This Row],[Presenting Time]]</f>
        <v>0.35486111111111102</v>
      </c>
    </row>
    <row r="89" spans="2:12" x14ac:dyDescent="0.25">
      <c r="B89" s="2">
        <f t="shared" si="1"/>
        <v>80</v>
      </c>
      <c r="C89" s="14" t="s">
        <v>58</v>
      </c>
      <c r="D89" s="11" cm="1">
        <f t="array" ref="D89">_xlfn.IFS($E89="l",$E$3,$F89="l",$F$3,$G89="l",$G$3,$H89="l",$H$3,$I89="l",$I$3,ISNUMBER($I89),($I$3*$I89),AND(ISBLANK($E89),ISBLANK($F89),ISBLANK($G89),ISBLANK($H89),ISBLANK($I89)),0)</f>
        <v>2.0833333333333333E-3</v>
      </c>
      <c r="E89" s="1" t="s">
        <v>94</v>
      </c>
      <c r="F89" s="1"/>
      <c r="G89" s="1"/>
      <c r="H89" s="1"/>
      <c r="I89" s="23"/>
      <c r="J89" s="16"/>
      <c r="K89"/>
      <c r="L89" s="17">
        <f>L88+Table1[[#This Row],[Presenting Time]]</f>
        <v>0.35694444444444434</v>
      </c>
    </row>
    <row r="90" spans="2:12" x14ac:dyDescent="0.25">
      <c r="B90" s="2">
        <f t="shared" si="1"/>
        <v>81</v>
      </c>
      <c r="C90" s="14" t="s">
        <v>102</v>
      </c>
      <c r="D90" s="11" cm="1">
        <f t="array" ref="D90">_xlfn.IFS($E90="l",$E$3,$F90="l",$F$3,$G90="l",$G$3,$H90="l",$H$3,$I90="l",$I$3,ISNUMBER($I90),($I$3*$I90),AND(ISBLANK($E90),ISBLANK($F90),ISBLANK($G90),ISBLANK($H90),ISBLANK($I90)),0)</f>
        <v>2.0833333333333333E-3</v>
      </c>
      <c r="E90" s="1" t="s">
        <v>94</v>
      </c>
      <c r="F90" s="1"/>
      <c r="G90" s="1"/>
      <c r="H90" s="1"/>
      <c r="I90" s="23"/>
      <c r="J90" s="16"/>
      <c r="K90"/>
      <c r="L90" s="17">
        <f>L89+Table1[[#This Row],[Presenting Time]]</f>
        <v>0.35902777777777767</v>
      </c>
    </row>
    <row r="91" spans="2:12" x14ac:dyDescent="0.25">
      <c r="B91" s="2">
        <f t="shared" si="1"/>
        <v>82</v>
      </c>
      <c r="C91" s="14" t="s">
        <v>59</v>
      </c>
      <c r="D91" s="11" cm="1">
        <f t="array" ref="D91">_xlfn.IFS($E91="l",$E$3,$F91="l",$F$3,$G91="l",$G$3,$H91="l",$H$3,$I91="l",$I$3,ISNUMBER($I91),($I$3*$I91),AND(ISBLANK($E91),ISBLANK($F91),ISBLANK($G91),ISBLANK($H91),ISBLANK($I91)),0)</f>
        <v>2.0833333333333333E-3</v>
      </c>
      <c r="E91" s="1" t="s">
        <v>94</v>
      </c>
      <c r="F91" s="1"/>
      <c r="G91" s="1"/>
      <c r="H91" s="1"/>
      <c r="I91" s="23"/>
      <c r="J91" s="16"/>
      <c r="K91"/>
      <c r="L91" s="17">
        <f>L90+Table1[[#This Row],[Presenting Time]]</f>
        <v>0.36111111111111099</v>
      </c>
    </row>
    <row r="92" spans="2:12" x14ac:dyDescent="0.25">
      <c r="B92" s="2">
        <f t="shared" si="1"/>
        <v>83</v>
      </c>
      <c r="C92" s="14" t="s">
        <v>59</v>
      </c>
      <c r="D92" s="11" cm="1">
        <f t="array" ref="D92">_xlfn.IFS($E92="l",$E$3,$F92="l",$F$3,$G92="l",$G$3,$H92="l",$H$3,$I92="l",$I$3,ISNUMBER($I92),($I$3*$I92),AND(ISBLANK($E92),ISBLANK($F92),ISBLANK($G92),ISBLANK($H92),ISBLANK($I92)),0)</f>
        <v>2.0833333333333333E-3</v>
      </c>
      <c r="E92" s="1" t="s">
        <v>94</v>
      </c>
      <c r="F92" s="1"/>
      <c r="G92" s="1"/>
      <c r="H92" s="1"/>
      <c r="I92" s="23"/>
      <c r="J92" s="16"/>
      <c r="K92"/>
      <c r="L92" s="17">
        <f>L91+Table1[[#This Row],[Presenting Time]]</f>
        <v>0.36319444444444432</v>
      </c>
    </row>
    <row r="93" spans="2:12" x14ac:dyDescent="0.25">
      <c r="B93" s="2">
        <f t="shared" si="1"/>
        <v>84</v>
      </c>
      <c r="C93" s="14" t="s">
        <v>59</v>
      </c>
      <c r="D93" s="11" cm="1">
        <f t="array" ref="D93">_xlfn.IFS($E93="l",$E$3,$F93="l",$F$3,$G93="l",$G$3,$H93="l",$H$3,$I93="l",$I$3,ISNUMBER($I93),($I$3*$I93),AND(ISBLANK($E93),ISBLANK($F93),ISBLANK($G93),ISBLANK($H93),ISBLANK($I93)),0)</f>
        <v>1.0416666666666666E-2</v>
      </c>
      <c r="E93" s="1"/>
      <c r="F93" s="1" t="s">
        <v>94</v>
      </c>
      <c r="G93" s="1"/>
      <c r="H93" s="1"/>
      <c r="I93" s="23"/>
      <c r="J93" s="16"/>
      <c r="K93"/>
      <c r="L93" s="17">
        <f>L92+Table1[[#This Row],[Presenting Time]]</f>
        <v>0.37361111111111101</v>
      </c>
    </row>
    <row r="94" spans="2:12" x14ac:dyDescent="0.25">
      <c r="B94" s="2">
        <f t="shared" si="1"/>
        <v>85</v>
      </c>
      <c r="C94" s="14" t="s">
        <v>60</v>
      </c>
      <c r="D94" s="11" cm="1">
        <f t="array" ref="D94">_xlfn.IFS($E94="l",$E$3,$F94="l",$F$3,$G94="l",$G$3,$H94="l",$H$3,$I94="l",$I$3,ISNUMBER($I94),($I$3*$I94),AND(ISBLANK($E94),ISBLANK($F94),ISBLANK($G94),ISBLANK($H94),ISBLANK($I94)),0)</f>
        <v>2.0833333333333333E-3</v>
      </c>
      <c r="E94" s="1" t="s">
        <v>94</v>
      </c>
      <c r="F94" s="1"/>
      <c r="G94" s="1"/>
      <c r="H94" s="1"/>
      <c r="I94" s="23"/>
      <c r="J94" s="16"/>
      <c r="K94"/>
      <c r="L94" s="17">
        <f>L93+Table1[[#This Row],[Presenting Time]]</f>
        <v>0.37569444444444433</v>
      </c>
    </row>
    <row r="95" spans="2:12" x14ac:dyDescent="0.25">
      <c r="B95" s="2">
        <f t="shared" si="1"/>
        <v>86</v>
      </c>
      <c r="C95" s="14" t="s">
        <v>61</v>
      </c>
      <c r="D95" s="11" cm="1">
        <f t="array" ref="D95">_xlfn.IFS($E95="l",$E$3,$F95="l",$F$3,$G95="l",$G$3,$H95="l",$H$3,$I95="l",$I$3,ISNUMBER($I95),($I$3*$I95),AND(ISBLANK($E95),ISBLANK($F95),ISBLANK($G95),ISBLANK($H95),ISBLANK($I95)),0)</f>
        <v>2.0833333333333333E-3</v>
      </c>
      <c r="E95" s="1" t="s">
        <v>94</v>
      </c>
      <c r="F95" s="1"/>
      <c r="G95" s="1"/>
      <c r="H95" s="1"/>
      <c r="I95" s="23"/>
      <c r="J95" s="16"/>
      <c r="K95"/>
      <c r="L95" s="17">
        <f>L94+Table1[[#This Row],[Presenting Time]]</f>
        <v>0.37777777777777766</v>
      </c>
    </row>
    <row r="96" spans="2:12" x14ac:dyDescent="0.25">
      <c r="B96" s="2">
        <f t="shared" si="1"/>
        <v>87</v>
      </c>
      <c r="C96" s="14" t="s">
        <v>62</v>
      </c>
      <c r="D96" s="11" cm="1">
        <f t="array" ref="D96">_xlfn.IFS($E96="l",$E$3,$F96="l",$F$3,$G96="l",$G$3,$H96="l",$H$3,$I96="l",$I$3,ISNUMBER($I96),($I$3*$I96),AND(ISBLANK($E96),ISBLANK($F96),ISBLANK($G96),ISBLANK($H96),ISBLANK($I96)),0)</f>
        <v>2.0833333333333333E-3</v>
      </c>
      <c r="E96" s="1" t="s">
        <v>94</v>
      </c>
      <c r="F96" s="1"/>
      <c r="G96" s="1"/>
      <c r="H96" s="1"/>
      <c r="I96" s="23"/>
      <c r="J96" s="16"/>
      <c r="K96"/>
      <c r="L96" s="17">
        <f>L95+Table1[[#This Row],[Presenting Time]]</f>
        <v>0.37986111111111098</v>
      </c>
    </row>
    <row r="97" spans="2:12" x14ac:dyDescent="0.25">
      <c r="B97" s="2">
        <f t="shared" si="1"/>
        <v>88</v>
      </c>
      <c r="C97" s="14" t="s">
        <v>63</v>
      </c>
      <c r="D97" s="11" cm="1">
        <f t="array" ref="D97">_xlfn.IFS($E97="l",$E$3,$F97="l",$F$3,$G97="l",$G$3,$H97="l",$H$3,$I97="l",$I$3,ISNUMBER($I97),($I$3*$I97),AND(ISBLANK($E97),ISBLANK($F97),ISBLANK($G97),ISBLANK($H97),ISBLANK($I97)),0)</f>
        <v>2.0833333333333333E-3</v>
      </c>
      <c r="E97" s="1" t="s">
        <v>94</v>
      </c>
      <c r="F97" s="1"/>
      <c r="G97" s="1"/>
      <c r="H97" s="1"/>
      <c r="I97" s="23"/>
      <c r="J97" s="16"/>
      <c r="K97"/>
      <c r="L97" s="17">
        <f>L96+Table1[[#This Row],[Presenting Time]]</f>
        <v>0.38194444444444431</v>
      </c>
    </row>
    <row r="98" spans="2:12" x14ac:dyDescent="0.25">
      <c r="B98" s="2">
        <f t="shared" si="1"/>
        <v>89</v>
      </c>
      <c r="C98" s="14" t="s">
        <v>64</v>
      </c>
      <c r="D98" s="11" cm="1">
        <f t="array" ref="D98">_xlfn.IFS($E98="l",$E$3,$F98="l",$F$3,$G98="l",$G$3,$H98="l",$H$3,$I98="l",$I$3,ISNUMBER($I98),($I$3*$I98),AND(ISBLANK($E98),ISBLANK($F98),ISBLANK($G98),ISBLANK($H98),ISBLANK($I98)),0)</f>
        <v>2.0833333333333333E-3</v>
      </c>
      <c r="E98" s="1" t="s">
        <v>94</v>
      </c>
      <c r="F98" s="1"/>
      <c r="G98" s="1"/>
      <c r="H98" s="1"/>
      <c r="I98" s="23"/>
      <c r="J98" s="16"/>
      <c r="K98"/>
      <c r="L98" s="17">
        <f>L97+Table1[[#This Row],[Presenting Time]]</f>
        <v>0.38402777777777763</v>
      </c>
    </row>
    <row r="99" spans="2:12" x14ac:dyDescent="0.25">
      <c r="B99" s="2">
        <f t="shared" si="1"/>
        <v>90</v>
      </c>
      <c r="C99" s="14" t="s">
        <v>65</v>
      </c>
      <c r="D99" s="11" cm="1">
        <f t="array" ref="D99">_xlfn.IFS($E99="l",$E$3,$F99="l",$F$3,$G99="l",$G$3,$H99="l",$H$3,$I99="l",$I$3,ISNUMBER($I99),($I$3*$I99),AND(ISBLANK($E99),ISBLANK($F99),ISBLANK($G99),ISBLANK($H99),ISBLANK($I99)),0)</f>
        <v>2.0833333333333333E-3</v>
      </c>
      <c r="E99" s="1" t="s">
        <v>94</v>
      </c>
      <c r="F99" s="1"/>
      <c r="G99" s="1"/>
      <c r="H99" s="1"/>
      <c r="I99" s="23"/>
      <c r="J99" s="16"/>
      <c r="K99"/>
      <c r="L99" s="17">
        <f>L98+Table1[[#This Row],[Presenting Time]]</f>
        <v>0.38611111111111096</v>
      </c>
    </row>
    <row r="100" spans="2:12" x14ac:dyDescent="0.25">
      <c r="B100" s="2">
        <f t="shared" si="1"/>
        <v>91</v>
      </c>
      <c r="C100" s="14" t="s">
        <v>64</v>
      </c>
      <c r="D100" s="11" cm="1">
        <f t="array" ref="D100">_xlfn.IFS($E100="l",$E$3,$F100="l",$F$3,$G100="l",$G$3,$H100="l",$H$3,$I100="l",$I$3,ISNUMBER($I100),($I$3*$I100),AND(ISBLANK($E100),ISBLANK($F100),ISBLANK($G100),ISBLANK($H100),ISBLANK($I100)),0)</f>
        <v>2.0833333333333333E-3</v>
      </c>
      <c r="E100" s="1" t="s">
        <v>94</v>
      </c>
      <c r="F100" s="1"/>
      <c r="G100" s="1"/>
      <c r="H100" s="1"/>
      <c r="I100" s="23"/>
      <c r="J100" s="16"/>
      <c r="K100"/>
      <c r="L100" s="17">
        <f>L99+Table1[[#This Row],[Presenting Time]]</f>
        <v>0.38819444444444429</v>
      </c>
    </row>
    <row r="101" spans="2:12" x14ac:dyDescent="0.25">
      <c r="B101" s="2">
        <f t="shared" si="1"/>
        <v>92</v>
      </c>
      <c r="C101" s="14" t="s">
        <v>66</v>
      </c>
      <c r="D101" s="11" cm="1">
        <f t="array" ref="D101">_xlfn.IFS($E101="l",$E$3,$F101="l",$F$3,$G101="l",$G$3,$H101="l",$H$3,$I101="l",$I$3,ISNUMBER($I101),($I$3*$I101),AND(ISBLANK($E101),ISBLANK($F101),ISBLANK($G101),ISBLANK($H101),ISBLANK($I101)),0)</f>
        <v>2.0833333333333333E-3</v>
      </c>
      <c r="E101" s="1" t="s">
        <v>94</v>
      </c>
      <c r="F101" s="1"/>
      <c r="G101" s="1"/>
      <c r="H101" s="1"/>
      <c r="I101" s="23"/>
      <c r="J101" s="16"/>
      <c r="K101"/>
      <c r="L101" s="17">
        <f>L100+Table1[[#This Row],[Presenting Time]]</f>
        <v>0.39027777777777761</v>
      </c>
    </row>
    <row r="102" spans="2:12" x14ac:dyDescent="0.25">
      <c r="B102" s="2">
        <f t="shared" si="1"/>
        <v>93</v>
      </c>
      <c r="C102" s="14" t="s">
        <v>67</v>
      </c>
      <c r="D102" s="11" cm="1">
        <f t="array" ref="D102">_xlfn.IFS($E102="l",$E$3,$F102="l",$F$3,$G102="l",$G$3,$H102="l",$H$3,$I102="l",$I$3,ISNUMBER($I102),($I$3*$I102),AND(ISBLANK($E102),ISBLANK($F102),ISBLANK($G102),ISBLANK($H102),ISBLANK($I102)),0)</f>
        <v>2.0833333333333333E-3</v>
      </c>
      <c r="E102" s="1" t="s">
        <v>94</v>
      </c>
      <c r="F102" s="1"/>
      <c r="G102" s="1"/>
      <c r="H102" s="1"/>
      <c r="I102" s="23"/>
      <c r="J102" s="16"/>
      <c r="K102"/>
      <c r="L102" s="17">
        <f>L101+Table1[[#This Row],[Presenting Time]]</f>
        <v>0.39236111111111094</v>
      </c>
    </row>
    <row r="103" spans="2:12" x14ac:dyDescent="0.25">
      <c r="B103" s="2">
        <f t="shared" si="1"/>
        <v>94</v>
      </c>
      <c r="C103" s="14" t="s">
        <v>95</v>
      </c>
      <c r="D103" s="11" cm="1">
        <f t="array" ref="D103">_xlfn.IFS($E103="l",$E$3,$F103="l",$F$3,$G103="l",$G$3,$H103="l",$H$3,$I103="l",$I$3,ISNUMBER($I103),($I$3*$I103),AND(ISBLANK($E103),ISBLANK($F103),ISBLANK($G103),ISBLANK($H103),ISBLANK($I103)),0)</f>
        <v>2.0833333333333333E-3</v>
      </c>
      <c r="E103" s="1" t="s">
        <v>94</v>
      </c>
      <c r="F103" s="1"/>
      <c r="G103" s="1"/>
      <c r="H103" s="1"/>
      <c r="I103" s="23"/>
      <c r="J103" s="16"/>
      <c r="K103"/>
      <c r="L103" s="17">
        <f>L102+Table1[[#This Row],[Presenting Time]]</f>
        <v>0.39444444444444426</v>
      </c>
    </row>
    <row r="104" spans="2:12" x14ac:dyDescent="0.25">
      <c r="B104" s="2">
        <f t="shared" si="1"/>
        <v>95</v>
      </c>
      <c r="C104" s="14" t="s">
        <v>68</v>
      </c>
      <c r="D104" s="11" cm="1">
        <f t="array" ref="D104">_xlfn.IFS($E104="l",$E$3,$F104="l",$F$3,$G104="l",$G$3,$H104="l",$H$3,$I104="l",$I$3,ISNUMBER($I104),($I$3*$I104),AND(ISBLANK($E104),ISBLANK($F104),ISBLANK($G104),ISBLANK($H104),ISBLANK($I104)),0)</f>
        <v>2.0833333333333333E-3</v>
      </c>
      <c r="E104" s="1" t="s">
        <v>94</v>
      </c>
      <c r="F104" s="1"/>
      <c r="G104" s="1"/>
      <c r="H104" s="1"/>
      <c r="I104" s="23"/>
      <c r="J104" s="16"/>
      <c r="K104"/>
      <c r="L104" s="17">
        <f>L103+Table1[[#This Row],[Presenting Time]]</f>
        <v>0.39652777777777759</v>
      </c>
    </row>
    <row r="105" spans="2:12" x14ac:dyDescent="0.25">
      <c r="B105" s="2">
        <f t="shared" si="1"/>
        <v>96</v>
      </c>
      <c r="C105" s="14" t="s">
        <v>69</v>
      </c>
      <c r="D105" s="11" cm="1">
        <f t="array" ref="D105">_xlfn.IFS($E105="l",$E$3,$F105="l",$F$3,$G105="l",$G$3,$H105="l",$H$3,$I105="l",$I$3,ISNUMBER($I105),($I$3*$I105),AND(ISBLANK($E105),ISBLANK($F105),ISBLANK($G105),ISBLANK($H105),ISBLANK($I105)),0)</f>
        <v>2.0833333333333333E-3</v>
      </c>
      <c r="E105" s="1" t="s">
        <v>94</v>
      </c>
      <c r="F105" s="1"/>
      <c r="G105" s="1"/>
      <c r="H105" s="1"/>
      <c r="I105" s="23"/>
      <c r="J105" s="16"/>
      <c r="K105"/>
      <c r="L105" s="17">
        <f>L104+Table1[[#This Row],[Presenting Time]]</f>
        <v>0.39861111111111092</v>
      </c>
    </row>
    <row r="106" spans="2:12" x14ac:dyDescent="0.25">
      <c r="B106" s="2"/>
      <c r="C106" s="15" t="s">
        <v>108</v>
      </c>
      <c r="D106" s="11" cm="1">
        <f t="array" ref="D106">_xlfn.IFS($E106="l",$E$3,$F106="l",$F$3,$G106="l",$G$3,$H106="l",$H$3,$I106="l",$I$3,ISNUMBER($I106),($I$3*$I106),AND(ISBLANK($E106),ISBLANK($F106),ISBLANK($G106),ISBLANK($H106),ISBLANK($I106)),0)</f>
        <v>1.0416666666666668E-2</v>
      </c>
      <c r="E106" s="1"/>
      <c r="F106" s="1"/>
      <c r="G106" s="1"/>
      <c r="H106" s="1"/>
      <c r="I106" s="23">
        <v>15</v>
      </c>
      <c r="J106" s="16"/>
      <c r="K106"/>
      <c r="L106" s="17">
        <f>L105+Table1[[#This Row],[Presenting Time]]</f>
        <v>0.4090277777777776</v>
      </c>
    </row>
    <row r="107" spans="2:12" x14ac:dyDescent="0.25">
      <c r="B107" s="2">
        <f>B105+1</f>
        <v>97</v>
      </c>
      <c r="C107" s="14" t="s">
        <v>70</v>
      </c>
      <c r="D107" s="11" cm="1">
        <f t="array" ref="D107">_xlfn.IFS($E107="l",$E$3,$F107="l",$F$3,$G107="l",$G$3,$H107="l",$H$3,$I107="l",$I$3,ISNUMBER($I107),($I$3*$I107),AND(ISBLANK($E107),ISBLANK($F107),ISBLANK($G107),ISBLANK($H107),ISBLANK($I107)),0)</f>
        <v>2.0833333333333333E-3</v>
      </c>
      <c r="E107" s="1" t="s">
        <v>94</v>
      </c>
      <c r="F107" s="1"/>
      <c r="G107" s="1"/>
      <c r="H107" s="1"/>
      <c r="I107" s="23"/>
      <c r="J107" s="16"/>
      <c r="K107"/>
      <c r="L107" s="17">
        <f>L106+Table1[[#This Row],[Presenting Time]]</f>
        <v>0.41111111111111093</v>
      </c>
    </row>
    <row r="108" spans="2:12" x14ac:dyDescent="0.25">
      <c r="B108" s="2">
        <f t="shared" si="1"/>
        <v>98</v>
      </c>
      <c r="C108" s="14" t="s">
        <v>70</v>
      </c>
      <c r="D108" s="11" cm="1">
        <f t="array" ref="D108">_xlfn.IFS($E108="l",$E$3,$F108="l",$F$3,$G108="l",$G$3,$H108="l",$H$3,$I108="l",$I$3,ISNUMBER($I108),($I$3*$I108),AND(ISBLANK($E108),ISBLANK($F108),ISBLANK($G108),ISBLANK($H108),ISBLANK($I108)),0)</f>
        <v>2.0833333333333333E-3</v>
      </c>
      <c r="E108" s="1" t="s">
        <v>94</v>
      </c>
      <c r="F108" s="1"/>
      <c r="G108" s="1"/>
      <c r="H108" s="1"/>
      <c r="I108" s="23"/>
      <c r="J108" s="16"/>
      <c r="K108"/>
      <c r="L108" s="17">
        <f>L107+Table1[[#This Row],[Presenting Time]]</f>
        <v>0.41319444444444425</v>
      </c>
    </row>
    <row r="109" spans="2:12" x14ac:dyDescent="0.25">
      <c r="B109" s="2">
        <f t="shared" si="1"/>
        <v>99</v>
      </c>
      <c r="C109" s="14" t="s">
        <v>70</v>
      </c>
      <c r="D109" s="11" cm="1">
        <f t="array" ref="D109">_xlfn.IFS($E109="l",$E$3,$F109="l",$F$3,$G109="l",$G$3,$H109="l",$H$3,$I109="l",$I$3,ISNUMBER($I109),($I$3*$I109),AND(ISBLANK($E109),ISBLANK($F109),ISBLANK($G109),ISBLANK($H109),ISBLANK($I109)),0)</f>
        <v>3.472222222222222E-3</v>
      </c>
      <c r="E109" s="1"/>
      <c r="F109" s="1"/>
      <c r="G109" s="1" t="s">
        <v>94</v>
      </c>
      <c r="H109" s="1"/>
      <c r="I109" s="23"/>
      <c r="J109" s="16"/>
      <c r="K109"/>
      <c r="L109" s="17">
        <f>L108+Table1[[#This Row],[Presenting Time]]</f>
        <v>0.41666666666666646</v>
      </c>
    </row>
    <row r="110" spans="2:12" x14ac:dyDescent="0.25">
      <c r="B110" s="2">
        <f t="shared" si="1"/>
        <v>100</v>
      </c>
      <c r="C110" s="14" t="s">
        <v>70</v>
      </c>
      <c r="D110" s="11" cm="1">
        <f t="array" ref="D110">_xlfn.IFS($E110="l",$E$3,$F110="l",$F$3,$G110="l",$G$3,$H110="l",$H$3,$I110="l",$I$3,ISNUMBER($I110),($I$3*$I110),AND(ISBLANK($E110),ISBLANK($F110),ISBLANK($G110),ISBLANK($H110),ISBLANK($I110)),0)</f>
        <v>1.0416666666666666E-2</v>
      </c>
      <c r="E110" s="1"/>
      <c r="F110" s="1" t="s">
        <v>94</v>
      </c>
      <c r="G110" s="1"/>
      <c r="H110" s="1"/>
      <c r="I110" s="23"/>
      <c r="J110" s="16"/>
      <c r="K110"/>
      <c r="L110" s="17">
        <f>L109+Table1[[#This Row],[Presenting Time]]</f>
        <v>0.42708333333333315</v>
      </c>
    </row>
    <row r="111" spans="2:12" x14ac:dyDescent="0.25">
      <c r="B111" s="2">
        <f t="shared" si="1"/>
        <v>101</v>
      </c>
      <c r="C111" s="14" t="s">
        <v>45</v>
      </c>
      <c r="D111" s="11" cm="1">
        <f t="array" ref="D111">_xlfn.IFS($E111="l",$E$3,$F111="l",$F$3,$G111="l",$G$3,$H111="l",$H$3,$I111="l",$I$3,ISNUMBER($I111),($I$3*$I111),AND(ISBLANK($E111),ISBLANK($F111),ISBLANK($G111),ISBLANK($H111),ISBLANK($I111)),0)</f>
        <v>3.472222222222222E-3</v>
      </c>
      <c r="E111" s="1"/>
      <c r="F111" s="1"/>
      <c r="G111" s="1" t="s">
        <v>94</v>
      </c>
      <c r="H111" s="1"/>
      <c r="I111" s="23"/>
      <c r="J111" s="16"/>
      <c r="K111"/>
      <c r="L111" s="17">
        <f>L110+Table1[[#This Row],[Presenting Time]]</f>
        <v>0.43055555555555536</v>
      </c>
    </row>
    <row r="112" spans="2:12" x14ac:dyDescent="0.25">
      <c r="B112" s="2">
        <f t="shared" si="1"/>
        <v>102</v>
      </c>
      <c r="C112" s="4" t="s">
        <v>71</v>
      </c>
      <c r="D112" s="11" cm="1">
        <f t="array" ref="D112">_xlfn.IFS($E112="l",$E$3,$F112="l",$F$3,$G112="l",$G$3,$H112="l",$H$3,$I112="l",$I$3,ISNUMBER($I112),($I$3*$I112),AND(ISBLANK($E112),ISBLANK($F112),ISBLANK($G112),ISBLANK($H112),ISBLANK($I112)),0)</f>
        <v>2.0833333333333333E-3</v>
      </c>
      <c r="E112" s="1" t="s">
        <v>94</v>
      </c>
      <c r="F112" s="1"/>
      <c r="G112" s="1"/>
      <c r="H112" s="1"/>
      <c r="I112" s="23"/>
      <c r="J112" s="16">
        <f>SUM(D112:D129)</f>
        <v>5.2777777777777785E-2</v>
      </c>
      <c r="K112"/>
      <c r="L112" s="17">
        <f>L111+Table1[[#This Row],[Presenting Time]]</f>
        <v>0.43263888888888868</v>
      </c>
    </row>
    <row r="113" spans="2:12" x14ac:dyDescent="0.25">
      <c r="B113" s="2">
        <f t="shared" si="1"/>
        <v>103</v>
      </c>
      <c r="C113" s="14" t="s">
        <v>72</v>
      </c>
      <c r="D113" s="11" cm="1">
        <f t="array" ref="D113">_xlfn.IFS($E113="l",$E$3,$F113="l",$F$3,$G113="l",$G$3,$H113="l",$H$3,$I113="l",$I$3,ISNUMBER($I113),($I$3*$I113),AND(ISBLANK($E113),ISBLANK($F113),ISBLANK($G113),ISBLANK($H113),ISBLANK($I113)),0)</f>
        <v>2.0833333333333333E-3</v>
      </c>
      <c r="E113" s="1" t="s">
        <v>94</v>
      </c>
      <c r="F113" s="1"/>
      <c r="G113" s="1"/>
      <c r="H113" s="1"/>
      <c r="I113" s="23"/>
      <c r="J113" s="16"/>
      <c r="K113"/>
      <c r="L113" s="17">
        <f>L112+Table1[[#This Row],[Presenting Time]]</f>
        <v>0.43472222222222201</v>
      </c>
    </row>
    <row r="114" spans="2:12" x14ac:dyDescent="0.25">
      <c r="B114" s="2">
        <f t="shared" si="1"/>
        <v>104</v>
      </c>
      <c r="C114" s="14" t="s">
        <v>73</v>
      </c>
      <c r="D114" s="11" cm="1">
        <f t="array" ref="D114">_xlfn.IFS($E114="l",$E$3,$F114="l",$F$3,$G114="l",$G$3,$H114="l",$H$3,$I114="l",$I$3,ISNUMBER($I114),($I$3*$I114),AND(ISBLANK($E114),ISBLANK($F114),ISBLANK($G114),ISBLANK($H114),ISBLANK($I114)),0)</f>
        <v>2.0833333333333333E-3</v>
      </c>
      <c r="E114" s="1" t="s">
        <v>94</v>
      </c>
      <c r="F114" s="1"/>
      <c r="G114" s="1"/>
      <c r="H114" s="1"/>
      <c r="I114" s="23"/>
      <c r="J114" s="16"/>
      <c r="K114"/>
      <c r="L114" s="17">
        <f>L113+Table1[[#This Row],[Presenting Time]]</f>
        <v>0.43680555555555534</v>
      </c>
    </row>
    <row r="115" spans="2:12" x14ac:dyDescent="0.25">
      <c r="B115" s="2">
        <f t="shared" si="1"/>
        <v>105</v>
      </c>
      <c r="C115" s="14" t="s">
        <v>74</v>
      </c>
      <c r="D115" s="11" cm="1">
        <f t="array" ref="D115">_xlfn.IFS($E115="l",$E$3,$F115="l",$F$3,$G115="l",$G$3,$H115="l",$H$3,$I115="l",$I$3,ISNUMBER($I115),($I$3*$I115),AND(ISBLANK($E115),ISBLANK($F115),ISBLANK($G115),ISBLANK($H115),ISBLANK($I115)),0)</f>
        <v>2.0833333333333333E-3</v>
      </c>
      <c r="E115" s="1" t="s">
        <v>94</v>
      </c>
      <c r="F115" s="1"/>
      <c r="G115" s="1"/>
      <c r="H115" s="1"/>
      <c r="I115" s="23"/>
      <c r="J115" s="16"/>
      <c r="K115"/>
      <c r="L115" s="17">
        <f>L114+Table1[[#This Row],[Presenting Time]]</f>
        <v>0.43888888888888866</v>
      </c>
    </row>
    <row r="116" spans="2:12" x14ac:dyDescent="0.25">
      <c r="B116" s="2">
        <f t="shared" si="1"/>
        <v>106</v>
      </c>
      <c r="C116" s="10" t="s">
        <v>103</v>
      </c>
      <c r="D116" s="11" cm="1">
        <f t="array" ref="D116">_xlfn.IFS($E116="l",$E$3,$F116="l",$F$3,$G116="l",$G$3,$H116="l",$H$3,$I116="l",$I$3,ISNUMBER($I116),($I$3*$I116),AND(ISBLANK($E116),ISBLANK($F116),ISBLANK($G116),ISBLANK($H116),ISBLANK($I116)),0)</f>
        <v>1.0416666666666668E-2</v>
      </c>
      <c r="E116" s="1"/>
      <c r="F116" s="1"/>
      <c r="G116" s="1"/>
      <c r="H116" s="1"/>
      <c r="I116" s="23">
        <v>15</v>
      </c>
      <c r="J116" s="16"/>
      <c r="K116"/>
      <c r="L116" s="17">
        <f>L115+Table1[[#This Row],[Presenting Time]]</f>
        <v>0.44930555555555535</v>
      </c>
    </row>
    <row r="117" spans="2:12" x14ac:dyDescent="0.25">
      <c r="B117" s="2">
        <f t="shared" si="1"/>
        <v>107</v>
      </c>
      <c r="C117" s="14" t="s">
        <v>75</v>
      </c>
      <c r="D117" s="11" cm="1">
        <f t="array" ref="D117">_xlfn.IFS($E117="l",$E$3,$F117="l",$F$3,$G117="l",$G$3,$H117="l",$H$3,$I117="l",$I$3,ISNUMBER($I117),($I$3*$I117),AND(ISBLANK($E117),ISBLANK($F117),ISBLANK($G117),ISBLANK($H117),ISBLANK($I117)),0)</f>
        <v>2.0833333333333333E-3</v>
      </c>
      <c r="E117" s="1" t="s">
        <v>94</v>
      </c>
      <c r="F117" s="1"/>
      <c r="G117" s="1"/>
      <c r="H117" s="1"/>
      <c r="I117" s="23"/>
      <c r="J117" s="16"/>
      <c r="K117"/>
      <c r="L117" s="17">
        <f>L116+Table1[[#This Row],[Presenting Time]]</f>
        <v>0.45138888888888867</v>
      </c>
    </row>
    <row r="118" spans="2:12" x14ac:dyDescent="0.25">
      <c r="B118" s="2">
        <f t="shared" si="1"/>
        <v>108</v>
      </c>
      <c r="C118" s="14" t="s">
        <v>76</v>
      </c>
      <c r="D118" s="11" cm="1">
        <f t="array" ref="D118">_xlfn.IFS($E118="l",$E$3,$F118="l",$F$3,$G118="l",$G$3,$H118="l",$H$3,$I118="l",$I$3,ISNUMBER($I118),($I$3*$I118),AND(ISBLANK($E118),ISBLANK($F118),ISBLANK($G118),ISBLANK($H118),ISBLANK($I118)),0)</f>
        <v>2.0833333333333333E-3</v>
      </c>
      <c r="E118" s="1" t="s">
        <v>94</v>
      </c>
      <c r="F118" s="1"/>
      <c r="G118" s="1"/>
      <c r="H118" s="1"/>
      <c r="I118" s="23"/>
      <c r="J118" s="16"/>
      <c r="K118"/>
      <c r="L118" s="17">
        <f>L117+Table1[[#This Row],[Presenting Time]]</f>
        <v>0.453472222222222</v>
      </c>
    </row>
    <row r="119" spans="2:12" x14ac:dyDescent="0.25">
      <c r="B119" s="2">
        <f t="shared" si="1"/>
        <v>109</v>
      </c>
      <c r="C119" s="14" t="s">
        <v>77</v>
      </c>
      <c r="D119" s="11" cm="1">
        <f t="array" ref="D119">_xlfn.IFS($E119="l",$E$3,$F119="l",$F$3,$G119="l",$G$3,$H119="l",$H$3,$I119="l",$I$3,ISNUMBER($I119),($I$3*$I119),AND(ISBLANK($E119),ISBLANK($F119),ISBLANK($G119),ISBLANK($H119),ISBLANK($I119)),0)</f>
        <v>3.472222222222222E-3</v>
      </c>
      <c r="E119" s="1"/>
      <c r="F119" s="1"/>
      <c r="G119" s="1" t="s">
        <v>94</v>
      </c>
      <c r="H119" s="1"/>
      <c r="I119" s="23"/>
      <c r="J119" s="16"/>
      <c r="K119"/>
      <c r="L119" s="17">
        <f>L118+Table1[[#This Row],[Presenting Time]]</f>
        <v>0.45694444444444421</v>
      </c>
    </row>
    <row r="120" spans="2:12" x14ac:dyDescent="0.25">
      <c r="B120" s="2">
        <f t="shared" si="1"/>
        <v>110</v>
      </c>
      <c r="C120" s="14" t="s">
        <v>78</v>
      </c>
      <c r="D120" s="11" cm="1">
        <f t="array" ref="D120">_xlfn.IFS($E120="l",$E$3,$F120="l",$F$3,$G120="l",$G$3,$H120="l",$H$3,$I120="l",$I$3,ISNUMBER($I120),($I$3*$I120),AND(ISBLANK($E120),ISBLANK($F120),ISBLANK($G120),ISBLANK($H120),ISBLANK($I120)),0)</f>
        <v>3.472222222222222E-3</v>
      </c>
      <c r="E120" s="1"/>
      <c r="F120" s="1"/>
      <c r="G120" s="1" t="s">
        <v>94</v>
      </c>
      <c r="H120" s="1"/>
      <c r="I120" s="23"/>
      <c r="J120" s="16"/>
      <c r="K120"/>
      <c r="L120" s="17">
        <f>L119+Table1[[#This Row],[Presenting Time]]</f>
        <v>0.46041666666666642</v>
      </c>
    </row>
    <row r="121" spans="2:12" x14ac:dyDescent="0.25">
      <c r="B121" s="2">
        <f t="shared" si="1"/>
        <v>111</v>
      </c>
      <c r="C121" s="14" t="s">
        <v>79</v>
      </c>
      <c r="D121" s="11" cm="1">
        <f t="array" ref="D121">_xlfn.IFS($E121="l",$E$3,$F121="l",$F$3,$G121="l",$G$3,$H121="l",$H$3,$I121="l",$I$3,ISNUMBER($I121),($I$3*$I121),AND(ISBLANK($E121),ISBLANK($F121),ISBLANK($G121),ISBLANK($H121),ISBLANK($I121)),0)</f>
        <v>3.472222222222222E-3</v>
      </c>
      <c r="E121" s="1"/>
      <c r="F121" s="1"/>
      <c r="G121" s="1" t="s">
        <v>94</v>
      </c>
      <c r="H121" s="1"/>
      <c r="I121" s="23"/>
      <c r="J121" s="16"/>
      <c r="K121"/>
      <c r="L121" s="17">
        <f>L120+Table1[[#This Row],[Presenting Time]]</f>
        <v>0.46388888888888863</v>
      </c>
    </row>
    <row r="122" spans="2:12" x14ac:dyDescent="0.25">
      <c r="B122" s="2">
        <f t="shared" si="1"/>
        <v>112</v>
      </c>
      <c r="C122" s="14" t="s">
        <v>80</v>
      </c>
      <c r="D122" s="11" cm="1">
        <f t="array" ref="D122">_xlfn.IFS($E122="l",$E$3,$F122="l",$F$3,$G122="l",$G$3,$H122="l",$H$3,$I122="l",$I$3,ISNUMBER($I122),($I$3*$I122),AND(ISBLANK($E122),ISBLANK($F122),ISBLANK($G122),ISBLANK($H122),ISBLANK($I122)),0)</f>
        <v>2.0833333333333333E-3</v>
      </c>
      <c r="E122" s="1" t="s">
        <v>94</v>
      </c>
      <c r="F122" s="1"/>
      <c r="G122" s="1"/>
      <c r="H122" s="1"/>
      <c r="I122" s="23"/>
      <c r="J122" s="16"/>
      <c r="K122"/>
      <c r="L122" s="17">
        <f>L121+Table1[[#This Row],[Presenting Time]]</f>
        <v>0.46597222222222195</v>
      </c>
    </row>
    <row r="123" spans="2:12" x14ac:dyDescent="0.25">
      <c r="B123" s="2">
        <f t="shared" si="1"/>
        <v>113</v>
      </c>
      <c r="C123" s="14" t="s">
        <v>81</v>
      </c>
      <c r="D123" s="11" cm="1">
        <f t="array" ref="D123">_xlfn.IFS($E123="l",$E$3,$F123="l",$F$3,$G123="l",$G$3,$H123="l",$H$3,$I123="l",$I$3,ISNUMBER($I123),($I$3*$I123),AND(ISBLANK($E123),ISBLANK($F123),ISBLANK($G123),ISBLANK($H123),ISBLANK($I123)),0)</f>
        <v>3.472222222222222E-3</v>
      </c>
      <c r="E123" s="1"/>
      <c r="F123" s="1"/>
      <c r="G123" s="1" t="s">
        <v>94</v>
      </c>
      <c r="H123" s="1"/>
      <c r="I123" s="23"/>
      <c r="J123" s="16"/>
      <c r="K123"/>
      <c r="L123" s="17">
        <f>L122+Table1[[#This Row],[Presenting Time]]</f>
        <v>0.46944444444444416</v>
      </c>
    </row>
    <row r="124" spans="2:12" x14ac:dyDescent="0.25">
      <c r="B124" s="2">
        <f t="shared" si="1"/>
        <v>114</v>
      </c>
      <c r="C124" s="14" t="s">
        <v>82</v>
      </c>
      <c r="D124" s="11" cm="1">
        <f t="array" ref="D124">_xlfn.IFS($E124="l",$E$3,$F124="l",$F$3,$G124="l",$G$3,$H124="l",$H$3,$I124="l",$I$3,ISNUMBER($I124),($I$3*$I124),AND(ISBLANK($E124),ISBLANK($F124),ISBLANK($G124),ISBLANK($H124),ISBLANK($I124)),0)</f>
        <v>3.472222222222222E-3</v>
      </c>
      <c r="E124" s="1"/>
      <c r="F124" s="1"/>
      <c r="G124" s="1" t="s">
        <v>94</v>
      </c>
      <c r="H124" s="1"/>
      <c r="I124" s="23"/>
      <c r="J124" s="16"/>
      <c r="K124"/>
      <c r="L124" s="17">
        <f>L123+Table1[[#This Row],[Presenting Time]]</f>
        <v>0.47291666666666637</v>
      </c>
    </row>
    <row r="125" spans="2:12" x14ac:dyDescent="0.25">
      <c r="B125" s="2">
        <f t="shared" si="1"/>
        <v>115</v>
      </c>
      <c r="C125" s="14" t="s">
        <v>86</v>
      </c>
      <c r="D125" s="11" cm="1">
        <f t="array" ref="D125">_xlfn.IFS($E125="l",$E$3,$F125="l",$F$3,$G125="l",$G$3,$H125="l",$H$3,$I125="l",$I$3,ISNUMBER($I125),($I$3*$I125),AND(ISBLANK($E125),ISBLANK($F125),ISBLANK($G125),ISBLANK($H125),ISBLANK($I125)),0)</f>
        <v>2.0833333333333333E-3</v>
      </c>
      <c r="E125" s="1" t="s">
        <v>94</v>
      </c>
      <c r="F125" s="1"/>
      <c r="G125" s="1"/>
      <c r="H125" s="1"/>
      <c r="I125" s="23"/>
      <c r="J125" s="16"/>
      <c r="K125"/>
      <c r="L125" s="17">
        <f>L124+Table1[[#This Row],[Presenting Time]]</f>
        <v>0.4749999999999997</v>
      </c>
    </row>
    <row r="126" spans="2:12" x14ac:dyDescent="0.25">
      <c r="B126" s="2">
        <f t="shared" si="1"/>
        <v>116</v>
      </c>
      <c r="C126" s="14" t="s">
        <v>85</v>
      </c>
      <c r="D126" s="11" cm="1">
        <f t="array" ref="D126">_xlfn.IFS($E126="l",$E$3,$F126="l",$F$3,$G126="l",$G$3,$H126="l",$H$3,$I126="l",$I$3,ISNUMBER($I126),($I$3*$I126),AND(ISBLANK($E126),ISBLANK($F126),ISBLANK($G126),ISBLANK($H126),ISBLANK($I126)),0)</f>
        <v>2.0833333333333333E-3</v>
      </c>
      <c r="E126" s="1" t="s">
        <v>94</v>
      </c>
      <c r="F126" s="1"/>
      <c r="G126" s="1"/>
      <c r="H126" s="1"/>
      <c r="I126" s="23"/>
      <c r="J126" s="16"/>
      <c r="K126"/>
      <c r="L126" s="17">
        <f>L125+Table1[[#This Row],[Presenting Time]]</f>
        <v>0.47708333333333303</v>
      </c>
    </row>
    <row r="127" spans="2:12" x14ac:dyDescent="0.25">
      <c r="B127" s="2">
        <f t="shared" si="1"/>
        <v>117</v>
      </c>
      <c r="C127" s="14" t="s">
        <v>83</v>
      </c>
      <c r="D127" s="11" cm="1">
        <f t="array" ref="D127">_xlfn.IFS($E127="l",$E$3,$F127="l",$F$3,$G127="l",$G$3,$H127="l",$H$3,$I127="l",$I$3,ISNUMBER($I127),($I$3*$I127),AND(ISBLANK($E127),ISBLANK($F127),ISBLANK($G127),ISBLANK($H127),ISBLANK($I127)),0)</f>
        <v>2.0833333333333333E-3</v>
      </c>
      <c r="E127" s="1" t="s">
        <v>94</v>
      </c>
      <c r="F127" s="1"/>
      <c r="G127" s="1"/>
      <c r="H127" s="1"/>
      <c r="I127" s="23"/>
      <c r="J127" s="16">
        <f>SUM(D130:D148)</f>
        <v>2.5000000000000005E-2</v>
      </c>
      <c r="K127"/>
      <c r="L127" s="17">
        <f>L126+Table1[[#This Row],[Presenting Time]]</f>
        <v>0.47916666666666635</v>
      </c>
    </row>
    <row r="128" spans="2:12" x14ac:dyDescent="0.25">
      <c r="B128" s="2">
        <f t="shared" si="1"/>
        <v>118</v>
      </c>
      <c r="C128" s="14" t="s">
        <v>84</v>
      </c>
      <c r="D128" s="11" cm="1">
        <f t="array" ref="D128">_xlfn.IFS($E128="l",$E$3,$F128="l",$F$3,$G128="l",$G$3,$H128="l",$H$3,$I128="l",$I$3,ISNUMBER($I128),($I$3*$I128),AND(ISBLANK($E128),ISBLANK($F128),ISBLANK($G128),ISBLANK($H128),ISBLANK($I128)),0)</f>
        <v>2.0833333333333333E-3</v>
      </c>
      <c r="E128" s="1" t="s">
        <v>94</v>
      </c>
      <c r="F128" s="1"/>
      <c r="G128" s="1"/>
      <c r="H128" s="1"/>
      <c r="I128" s="23"/>
      <c r="J128" s="16"/>
      <c r="K128"/>
      <c r="L128" s="17">
        <f>L127+Table1[[#This Row],[Presenting Time]]</f>
        <v>0.48124999999999968</v>
      </c>
    </row>
    <row r="129" spans="2:12" x14ac:dyDescent="0.25">
      <c r="B129" s="2">
        <f t="shared" si="1"/>
        <v>119</v>
      </c>
      <c r="C129" s="14" t="s">
        <v>71</v>
      </c>
      <c r="D129" s="11" cm="1">
        <f t="array" ref="D129">_xlfn.IFS($E129="l",$E$3,$F129="l",$F$3,$G129="l",$G$3,$H129="l",$H$3,$I129="l",$I$3,ISNUMBER($I129),($I$3*$I129),AND(ISBLANK($E129),ISBLANK($F129),ISBLANK($G129),ISBLANK($H129),ISBLANK($I129)),0)</f>
        <v>2.0833333333333333E-3</v>
      </c>
      <c r="E129" s="1" t="s">
        <v>94</v>
      </c>
      <c r="F129" s="1"/>
      <c r="G129" s="1"/>
      <c r="H129" s="1"/>
      <c r="I129" s="23"/>
      <c r="J129" s="16"/>
      <c r="K129"/>
      <c r="L129" s="17">
        <f>L128+Table1[[#This Row],[Presenting Time]]</f>
        <v>0.483333333333333</v>
      </c>
    </row>
    <row r="130" spans="2:12" x14ac:dyDescent="0.25">
      <c r="B130" s="2">
        <f t="shared" si="1"/>
        <v>120</v>
      </c>
      <c r="C130" s="18" t="s">
        <v>114</v>
      </c>
      <c r="D130" s="11" cm="1">
        <f t="array" ref="D130">_xlfn.IFS($E130="l",$E$3,$F130="l",$F$3,$G130="l",$G$3,$H130="l",$H$3,$I130="l",$I$3,ISNUMBER($I130),($I$3*$I130),AND(ISBLANK($E130),ISBLANK($F130),ISBLANK($G130),ISBLANK($H130),ISBLANK($I130)),0)</f>
        <v>2.0833333333333333E-3</v>
      </c>
      <c r="E130" s="1" t="s">
        <v>94</v>
      </c>
      <c r="F130" s="1"/>
      <c r="G130" s="1"/>
      <c r="H130" s="1"/>
      <c r="I130" s="23"/>
      <c r="J130" s="16"/>
      <c r="K130"/>
      <c r="L130" s="17">
        <f>L129+Table1[[#This Row],[Presenting Time]]</f>
        <v>0.48541666666666633</v>
      </c>
    </row>
    <row r="131" spans="2:12" x14ac:dyDescent="0.25">
      <c r="B131" s="2">
        <f t="shared" si="1"/>
        <v>121</v>
      </c>
      <c r="C131" s="18" t="s">
        <v>115</v>
      </c>
      <c r="D131" s="11" cm="1">
        <f t="array" ref="D131">_xlfn.IFS($E131="l",$E$3,$F131="l",$F$3,$G131="l",$G$3,$H131="l",$H$3,$I131="l",$I$3,ISNUMBER($I131),($I$3*$I131),AND(ISBLANK($E131),ISBLANK($F131),ISBLANK($G131),ISBLANK($H131),ISBLANK($I131)),0)</f>
        <v>3.472222222222222E-3</v>
      </c>
      <c r="E131" s="1"/>
      <c r="F131" s="1"/>
      <c r="G131" s="1" t="s">
        <v>94</v>
      </c>
      <c r="H131" s="1"/>
      <c r="I131" s="23"/>
      <c r="J131" s="16"/>
      <c r="K131"/>
      <c r="L131" s="17">
        <f>L130+Table1[[#This Row],[Presenting Time]]</f>
        <v>0.48888888888888854</v>
      </c>
    </row>
    <row r="132" spans="2:12" x14ac:dyDescent="0.25">
      <c r="B132" s="2">
        <f t="shared" si="1"/>
        <v>122</v>
      </c>
      <c r="C132" s="18" t="s">
        <v>116</v>
      </c>
      <c r="D132" s="11" cm="1">
        <f t="array" ref="D132">_xlfn.IFS($E132="l",$E$3,$F132="l",$F$3,$G132="l",$G$3,$H132="l",$H$3,$I132="l",$I$3,ISNUMBER($I132),($I$3*$I132),AND(ISBLANK($E132),ISBLANK($F132),ISBLANK($G132),ISBLANK($H132),ISBLANK($I132)),0)</f>
        <v>2.0833333333333333E-3</v>
      </c>
      <c r="E132" s="1" t="s">
        <v>94</v>
      </c>
      <c r="F132" s="1"/>
      <c r="G132" s="1"/>
      <c r="H132" s="1"/>
      <c r="I132" s="23"/>
      <c r="J132" s="16"/>
      <c r="K132"/>
      <c r="L132" s="17">
        <f>L131+Table1[[#This Row],[Presenting Time]]</f>
        <v>0.49097222222222187</v>
      </c>
    </row>
    <row r="133" spans="2:12" x14ac:dyDescent="0.25">
      <c r="B133" s="2"/>
      <c r="C133" s="15" t="s">
        <v>106</v>
      </c>
      <c r="D133" s="11" cm="1">
        <f t="array" ref="D133">_xlfn.IFS($E133="l",$E$3,$F133="l",$F$3,$G133="l",$G$3,$H133="l",$H$3,$I133="l",$I$3,ISNUMBER($I133),($I$3*$I133),AND(ISBLANK($E133),ISBLANK($F133),ISBLANK($G133),ISBLANK($H133),ISBLANK($I133)),0)</f>
        <v>1.388888888888889E-2</v>
      </c>
      <c r="E133" s="1"/>
      <c r="F133" s="1"/>
      <c r="G133" s="1"/>
      <c r="H133" s="1"/>
      <c r="I133" s="23">
        <v>20</v>
      </c>
      <c r="J133" s="16"/>
      <c r="K133"/>
      <c r="L133" s="17">
        <f>L132+Table1[[#This Row],[Presenting Time]]</f>
        <v>0.50486111111111076</v>
      </c>
    </row>
    <row r="134" spans="2:12" x14ac:dyDescent="0.25">
      <c r="B134" s="2">
        <f>B132+1</f>
        <v>123</v>
      </c>
      <c r="C134" s="18" t="s">
        <v>90</v>
      </c>
      <c r="D134" s="11" cm="1">
        <f t="array" ref="D134">_xlfn.IFS($E134="l",$E$3,$F134="l",$F$3,$G134="l",$G$3,$H134="l",$H$3,$I134="l",$I$3,ISNUMBER($I134),($I$3*$I134),AND(ISBLANK($E134),ISBLANK($F134),ISBLANK($G134),ISBLANK($H134),ISBLANK($I134)),0)</f>
        <v>6.9444444444444447E-4</v>
      </c>
      <c r="E134" s="1"/>
      <c r="F134" s="1"/>
      <c r="G134" s="1"/>
      <c r="H134" s="1" t="s">
        <v>94</v>
      </c>
      <c r="I134" s="23"/>
      <c r="J134" s="16"/>
      <c r="K134"/>
      <c r="L134" s="17">
        <f>L133+Table1[[#This Row],[Presenting Time]]</f>
        <v>0.5055555555555552</v>
      </c>
    </row>
    <row r="135" spans="2:12" x14ac:dyDescent="0.25">
      <c r="B135" s="2">
        <f t="shared" si="1"/>
        <v>124</v>
      </c>
      <c r="C135" s="18" t="s">
        <v>87</v>
      </c>
      <c r="D135" s="11" cm="1">
        <f t="array" ref="D135">_xlfn.IFS($E135="l",$E$3,$F135="l",$F$3,$G135="l",$G$3,$H135="l",$H$3,$I135="l",$I$3,ISNUMBER($I135),($I$3*$I135),AND(ISBLANK($E135),ISBLANK($F135),ISBLANK($G135),ISBLANK($H135),ISBLANK($I135)),0)</f>
        <v>6.9444444444444447E-4</v>
      </c>
      <c r="E135" s="1"/>
      <c r="F135" s="1"/>
      <c r="G135" s="1"/>
      <c r="H135" s="1" t="s">
        <v>94</v>
      </c>
      <c r="I135" s="23"/>
      <c r="J135" s="16"/>
      <c r="K135"/>
      <c r="L135" s="17">
        <f>L134+Table1[[#This Row],[Presenting Time]]</f>
        <v>0.50624999999999964</v>
      </c>
    </row>
    <row r="136" spans="2:12" x14ac:dyDescent="0.25">
      <c r="B136" s="2">
        <f t="shared" si="1"/>
        <v>125</v>
      </c>
      <c r="C136" s="18" t="s">
        <v>92</v>
      </c>
      <c r="D136" s="11" cm="1">
        <f t="array" ref="D136">_xlfn.IFS($E136="l",$E$3,$F136="l",$F$3,$G136="l",$G$3,$H136="l",$H$3,$I136="l",$I$3,ISNUMBER($I136),($I$3*$I136),AND(ISBLANK($E136),ISBLANK($F136),ISBLANK($G136),ISBLANK($H136),ISBLANK($I136)),0)</f>
        <v>6.9444444444444447E-4</v>
      </c>
      <c r="E136" s="1"/>
      <c r="F136" s="1"/>
      <c r="G136" s="1"/>
      <c r="H136" s="1" t="s">
        <v>94</v>
      </c>
      <c r="I136" s="23"/>
      <c r="J136" s="16"/>
      <c r="K136"/>
      <c r="L136" s="17">
        <f>L135+Table1[[#This Row],[Presenting Time]]</f>
        <v>0.50694444444444409</v>
      </c>
    </row>
    <row r="137" spans="2:12" x14ac:dyDescent="0.25">
      <c r="B137" s="2">
        <f t="shared" si="1"/>
        <v>126</v>
      </c>
      <c r="C137" s="18" t="s">
        <v>91</v>
      </c>
      <c r="D137" s="11" cm="1">
        <f t="array" ref="D137">_xlfn.IFS($E137="l",$E$3,$F137="l",$F$3,$G137="l",$G$3,$H137="l",$H$3,$I137="l",$I$3,ISNUMBER($I137),($I$3*$I137),AND(ISBLANK($E137),ISBLANK($F137),ISBLANK($G137),ISBLANK($H137),ISBLANK($I137)),0)</f>
        <v>6.9444444444444447E-4</v>
      </c>
      <c r="E137" s="1"/>
      <c r="F137" s="1"/>
      <c r="G137" s="1"/>
      <c r="H137" s="1" t="s">
        <v>94</v>
      </c>
      <c r="I137" s="23"/>
      <c r="J137" s="16"/>
      <c r="K137"/>
      <c r="L137" s="17">
        <f>L136+Table1[[#This Row],[Presenting Time]]</f>
        <v>0.50763888888888853</v>
      </c>
    </row>
    <row r="138" spans="2:12" x14ac:dyDescent="0.25">
      <c r="B138" s="2">
        <f t="shared" si="1"/>
        <v>127</v>
      </c>
      <c r="C138" s="18" t="s">
        <v>93</v>
      </c>
      <c r="D138" s="11" cm="1">
        <f t="array" ref="D138">_xlfn.IFS($E138="l",$E$3,$F138="l",$F$3,$G138="l",$G$3,$H138="l",$H$3,$I138="l",$I$3,ISNUMBER($I138),($I$3*$I138),AND(ISBLANK($E138),ISBLANK($F138),ISBLANK($G138),ISBLANK($H138),ISBLANK($I138)),0)</f>
        <v>6.9444444444444447E-4</v>
      </c>
      <c r="E138" s="1"/>
      <c r="F138" s="1"/>
      <c r="G138" s="1"/>
      <c r="H138" s="1" t="s">
        <v>94</v>
      </c>
      <c r="I138" s="23"/>
      <c r="J138" s="16"/>
      <c r="K138"/>
      <c r="L138" s="17">
        <f>L137+Table1[[#This Row],[Presenting Time]]</f>
        <v>0.50833333333333297</v>
      </c>
    </row>
    <row r="139" spans="2:12" x14ac:dyDescent="0.25">
      <c r="B139" s="2">
        <f t="shared" si="1"/>
        <v>128</v>
      </c>
      <c r="C139" s="14"/>
      <c r="D139" s="11" cm="1">
        <f t="array" ref="D139">_xlfn.IFS($E139="l",$E$3,$F139="l",$F$3,$G139="l",$G$3,$H139="l",$H$3,$I139="l",$I$3,ISNUMBER($I139),($I$3*$I139),AND(ISBLANK($E139),ISBLANK($F139),ISBLANK($G139),ISBLANK($H139),ISBLANK($I139)),0)</f>
        <v>0</v>
      </c>
      <c r="E139" s="1"/>
      <c r="F139" s="1"/>
      <c r="G139" s="1"/>
      <c r="H139" s="1"/>
      <c r="I139" s="23"/>
      <c r="J139" s="16"/>
      <c r="K139"/>
      <c r="L139" s="17">
        <f>L138+Table1[[#This Row],[Presenting Time]]</f>
        <v>0.50833333333333297</v>
      </c>
    </row>
    <row r="140" spans="2:12" x14ac:dyDescent="0.25">
      <c r="B140" s="2">
        <f t="shared" si="1"/>
        <v>129</v>
      </c>
      <c r="C140" s="14"/>
      <c r="D140" s="11" cm="1">
        <f t="array" ref="D140">_xlfn.IFS($E140="l",$E$3,$F140="l",$F$3,$G140="l",$G$3,$H140="l",$H$3,$I140="l",$I$3,ISNUMBER($I140),($I$3*$I140),AND(ISBLANK($E140),ISBLANK($F140),ISBLANK($G140),ISBLANK($H140),ISBLANK($I140)),0)</f>
        <v>0</v>
      </c>
      <c r="E140" s="1"/>
      <c r="F140" s="1"/>
      <c r="G140" s="1"/>
      <c r="H140" s="1"/>
      <c r="I140" s="23"/>
      <c r="J140" s="16"/>
      <c r="K140"/>
      <c r="L140" s="17">
        <f>L139+Table1[[#This Row],[Presenting Time]]</f>
        <v>0.50833333333333297</v>
      </c>
    </row>
    <row r="141" spans="2:12" x14ac:dyDescent="0.25">
      <c r="B141" s="2">
        <f t="shared" si="1"/>
        <v>130</v>
      </c>
      <c r="C141" s="14"/>
      <c r="D141" s="11" cm="1">
        <f t="array" ref="D141">_xlfn.IFS($E141="l",$E$3,$F141="l",$F$3,$G141="l",$G$3,$H141="l",$H$3,$I141="l",$I$3,ISNUMBER($I141),($I$3*$I141),AND(ISBLANK($E141),ISBLANK($F141),ISBLANK($G141),ISBLANK($H141),ISBLANK($I141)),0)</f>
        <v>0</v>
      </c>
      <c r="E141" s="1"/>
      <c r="F141" s="1"/>
      <c r="G141" s="1"/>
      <c r="H141" s="1"/>
      <c r="I141" s="23"/>
      <c r="J141" s="16"/>
      <c r="K141"/>
      <c r="L141" s="17">
        <f>L140+Table1[[#This Row],[Presenting Time]]</f>
        <v>0.50833333333333297</v>
      </c>
    </row>
    <row r="142" spans="2:12" x14ac:dyDescent="0.25">
      <c r="B142" s="2">
        <f t="shared" si="1"/>
        <v>131</v>
      </c>
      <c r="C142" s="14"/>
      <c r="D142" s="11" cm="1">
        <f t="array" ref="D142">_xlfn.IFS($E142="l",$E$3,$F142="l",$F$3,$G142="l",$G$3,$H142="l",$H$3,$I142="l",$I$3,ISNUMBER($I142),($I$3*$I142),AND(ISBLANK($E142),ISBLANK($F142),ISBLANK($G142),ISBLANK($H142),ISBLANK($I142)),0)</f>
        <v>0</v>
      </c>
      <c r="E142" s="1"/>
      <c r="F142" s="1"/>
      <c r="G142" s="1"/>
      <c r="H142" s="1"/>
      <c r="I142" s="23"/>
      <c r="J142" s="16"/>
      <c r="K142"/>
      <c r="L142" s="17">
        <f>L141+Table1[[#This Row],[Presenting Time]]</f>
        <v>0.50833333333333297</v>
      </c>
    </row>
    <row r="143" spans="2:12" x14ac:dyDescent="0.25">
      <c r="B143" s="2">
        <f t="shared" si="1"/>
        <v>132</v>
      </c>
      <c r="C143" s="14"/>
      <c r="D143" s="11" cm="1">
        <f t="array" ref="D143">_xlfn.IFS($E143="l",$E$3,$F143="l",$F$3,$G143="l",$G$3,$H143="l",$H$3,$I143="l",$I$3,ISNUMBER($I143),($I$3*$I143),AND(ISBLANK($E143),ISBLANK($F143),ISBLANK($G143),ISBLANK($H143),ISBLANK($I143)),0)</f>
        <v>0</v>
      </c>
      <c r="E143" s="1"/>
      <c r="F143" s="1"/>
      <c r="G143" s="1"/>
      <c r="H143" s="1"/>
      <c r="I143" s="23"/>
      <c r="J143" s="16"/>
      <c r="K143"/>
      <c r="L143" s="17">
        <f>L142+Table1[[#This Row],[Presenting Time]]</f>
        <v>0.50833333333333297</v>
      </c>
    </row>
    <row r="144" spans="2:12" x14ac:dyDescent="0.25">
      <c r="B144" s="2">
        <f t="shared" si="1"/>
        <v>133</v>
      </c>
      <c r="C144" s="14"/>
      <c r="D144" s="11" cm="1">
        <f t="array" ref="D144">_xlfn.IFS($E144="l",$E$3,$F144="l",$F$3,$G144="l",$G$3,$H144="l",$H$3,$I144="l",$I$3,ISNUMBER($I144),($I$3*$I144),AND(ISBLANK($E144),ISBLANK($F144),ISBLANK($G144),ISBLANK($H144),ISBLANK($I144)),0)</f>
        <v>0</v>
      </c>
      <c r="E144" s="1"/>
      <c r="F144" s="1"/>
      <c r="G144" s="1"/>
      <c r="H144" s="1"/>
      <c r="I144" s="23"/>
      <c r="J144" s="16"/>
      <c r="K144"/>
      <c r="L144" s="17">
        <f>L143+Table1[[#This Row],[Presenting Time]]</f>
        <v>0.50833333333333297</v>
      </c>
    </row>
    <row r="145" spans="2:12" x14ac:dyDescent="0.25">
      <c r="B145" s="2">
        <f t="shared" si="1"/>
        <v>134</v>
      </c>
      <c r="C145" s="14"/>
      <c r="D145" s="11" cm="1">
        <f t="array" ref="D145">_xlfn.IFS($E145="l",$E$3,$F145="l",$F$3,$G145="l",$G$3,$H145="l",$H$3,$I145="l",$I$3,ISNUMBER($I145),($I$3*$I145),AND(ISBLANK($E145),ISBLANK($F145),ISBLANK($G145),ISBLANK($H145),ISBLANK($I145)),0)</f>
        <v>0</v>
      </c>
      <c r="E145" s="1"/>
      <c r="F145" s="1"/>
      <c r="G145" s="1"/>
      <c r="H145" s="1"/>
      <c r="I145" s="23"/>
      <c r="J145" s="16"/>
      <c r="K145"/>
      <c r="L145" s="17">
        <f>L144+Table1[[#This Row],[Presenting Time]]</f>
        <v>0.50833333333333297</v>
      </c>
    </row>
    <row r="146" spans="2:12" x14ac:dyDescent="0.25">
      <c r="B146" s="2">
        <f t="shared" ref="B146:B148" si="2">B145+1</f>
        <v>135</v>
      </c>
      <c r="C146" s="14"/>
      <c r="D146" s="11" cm="1">
        <f t="array" ref="D146">_xlfn.IFS($E146="l",$E$3,$F146="l",$F$3,$G146="l",$G$3,$H146="l",$H$3,$I146="l",$I$3,ISNUMBER($I146),($I$3*$I146),AND(ISBLANK($E146),ISBLANK($F146),ISBLANK($G146),ISBLANK($H146),ISBLANK($I146)),0)</f>
        <v>0</v>
      </c>
      <c r="E146" s="1"/>
      <c r="F146" s="1"/>
      <c r="G146" s="1"/>
      <c r="H146" s="1"/>
      <c r="I146" s="23"/>
      <c r="J146" s="16"/>
      <c r="K146"/>
      <c r="L146" s="17">
        <f>L145+Table1[[#This Row],[Presenting Time]]</f>
        <v>0.50833333333333297</v>
      </c>
    </row>
    <row r="147" spans="2:12" x14ac:dyDescent="0.25">
      <c r="B147" s="2">
        <f t="shared" si="2"/>
        <v>136</v>
      </c>
      <c r="C147" s="14"/>
      <c r="D147" s="11" cm="1">
        <f t="array" ref="D147">_xlfn.IFS($E147="l",$E$3,$F147="l",$F$3,$G147="l",$G$3,$H147="l",$H$3,$I147="l",$I$3,ISNUMBER($I147),($I$3*$I147),AND(ISBLANK($E147),ISBLANK($F147),ISBLANK($G147),ISBLANK($H147),ISBLANK($I147)),0)</f>
        <v>0</v>
      </c>
      <c r="E147" s="1"/>
      <c r="F147" s="1"/>
      <c r="G147" s="1"/>
      <c r="H147" s="1"/>
      <c r="I147" s="23"/>
      <c r="J147" s="16"/>
      <c r="K147"/>
      <c r="L147" s="17">
        <f>L146+Table1[[#This Row],[Presenting Time]]</f>
        <v>0.50833333333333297</v>
      </c>
    </row>
    <row r="148" spans="2:12" x14ac:dyDescent="0.25">
      <c r="B148" s="2">
        <f t="shared" si="2"/>
        <v>137</v>
      </c>
      <c r="C148" s="14"/>
      <c r="D148" s="27" cm="1">
        <f t="array" ref="D148">_xlfn.IFS($E148="l",$E$3,$F148="l",$F$3,$G148="l",$G$3,$H148="l",$H$3,$I148="l",$I$3,ISNUMBER($I148),($I$3*$I148),AND(ISBLANK($E148),ISBLANK($F148),ISBLANK($G148),ISBLANK($H148),ISBLANK($I148)),0)</f>
        <v>0</v>
      </c>
      <c r="E148" s="1"/>
      <c r="F148" s="1"/>
      <c r="G148" s="1"/>
      <c r="H148" s="1"/>
      <c r="I148" s="23"/>
      <c r="J148" s="16"/>
      <c r="K148"/>
      <c r="L148" s="17">
        <f>L147+Table1[[#This Row],[Presenting Time]]</f>
        <v>0.50833333333333297</v>
      </c>
    </row>
    <row r="149" spans="2:12" x14ac:dyDescent="0.25">
      <c r="B149" s="5" t="s">
        <v>97</v>
      </c>
      <c r="C149" s="5"/>
      <c r="D149" s="11">
        <f>SUBTOTAL(109,D5:D148)</f>
        <v>0.52847222222222168</v>
      </c>
      <c r="E149" s="5">
        <f>COUNTIF(E$4:E$148,"l")</f>
        <v>68</v>
      </c>
      <c r="F149" s="5">
        <f t="shared" ref="F149:G149" si="3">COUNTIF(F$4:F$148,"l")</f>
        <v>12</v>
      </c>
      <c r="G149" s="5">
        <f t="shared" si="3"/>
        <v>37</v>
      </c>
      <c r="H149" s="5">
        <f>COUNTIF(H$4:H$148,"l")</f>
        <v>7</v>
      </c>
      <c r="I149" s="5">
        <f>COUNT(I5:I148)</f>
        <v>8</v>
      </c>
      <c r="J149" s="16"/>
      <c r="K149"/>
    </row>
  </sheetData>
  <mergeCells count="1">
    <mergeCell ref="B2:I2"/>
  </mergeCells>
  <phoneticPr fontId="6" type="noConversion"/>
  <conditionalFormatting sqref="D5:D79 D82:D149">
    <cfRule type="expression" dxfId="0" priority="6">
      <formula>AND($D5=0, ISBLANK($H5))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DeLuzio</dc:creator>
  <cp:lastModifiedBy>Scott DeLuzio</cp:lastModifiedBy>
  <dcterms:created xsi:type="dcterms:W3CDTF">2015-06-05T18:17:20Z</dcterms:created>
  <dcterms:modified xsi:type="dcterms:W3CDTF">2024-12-02T13:36:38Z</dcterms:modified>
</cp:coreProperties>
</file>