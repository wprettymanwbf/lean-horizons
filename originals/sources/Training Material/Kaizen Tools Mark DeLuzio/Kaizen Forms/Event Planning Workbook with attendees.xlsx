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deluzio/Library/CloudStorage/Dropbox/00 - Lean Horizons Master Dropbox/03 - Intellectual Property/01 - Active/Kaizen Tools/"/>
    </mc:Choice>
  </mc:AlternateContent>
  <xr:revisionPtr revIDLastSave="0" documentId="13_ncr:1_{C5065014-1376-644E-819A-DED86F3CD805}" xr6:coauthVersionLast="47" xr6:coauthVersionMax="47" xr10:uidLastSave="{00000000-0000-0000-0000-000000000000}"/>
  <bookViews>
    <workbookView xWindow="0" yWindow="660" windowWidth="29040" windowHeight="15720" xr2:uid="{6AD0B355-ADDB-4E6E-87AD-7A7F95422565}"/>
  </bookViews>
  <sheets>
    <sheet name="Actions" sheetId="1" r:id="rId1"/>
    <sheet name="Attendees" sheetId="2" r:id="rId2"/>
    <sheet name="Attendees_" sheetId="3" r:id="rId3"/>
  </sheets>
  <definedNames>
    <definedName name="_xlnm.Print_Titles" localSheetId="0">Actions!$8:$8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1" l="1"/>
  <c r="F33" i="1"/>
  <c r="F32" i="1"/>
  <c r="F31" i="1"/>
  <c r="F30" i="1"/>
  <c r="F29" i="1"/>
  <c r="F28" i="1"/>
  <c r="F27" i="1"/>
  <c r="F26" i="1"/>
  <c r="F25" i="1"/>
  <c r="F24" i="1"/>
  <c r="F23" i="1"/>
  <c r="F22" i="1"/>
  <c r="F21" i="1"/>
  <c r="F20" i="1"/>
  <c r="F19" i="1"/>
  <c r="F16" i="1"/>
  <c r="F15" i="1"/>
  <c r="F14" i="1"/>
  <c r="F13" i="1"/>
  <c r="F12" i="1"/>
  <c r="F11" i="1"/>
  <c r="F10" i="1"/>
  <c r="F17" i="1"/>
  <c r="F18" i="1"/>
  <c r="F9" i="1"/>
</calcChain>
</file>

<file path=xl/sharedStrings.xml><?xml version="1.0" encoding="utf-8"?>
<sst xmlns="http://schemas.openxmlformats.org/spreadsheetml/2006/main" count="119" uniqueCount="113">
  <si>
    <t>Leadership Approval for event completed</t>
  </si>
  <si>
    <t>Establish Attendee List  - Within Business</t>
  </si>
  <si>
    <t>A cross-functional team of attendees should include at least one Subject Matter Expert from each sub process (e.g. Sales, Marketing, Finance, Procurement, Manufacturing, Engineering, etc) as well as representation from the key enabling support functions (e.g. HR)</t>
  </si>
  <si>
    <t>Establish Attendee List  -Outside Business</t>
  </si>
  <si>
    <t>Attendee list should also include people from within the country/region who will benefit from exposure to the lean process in order to take back learnings to share within their own business</t>
  </si>
  <si>
    <t xml:space="preserve">Obtain agreement from Business Leader and Senior Management Team on Attendee List </t>
  </si>
  <si>
    <t>Total should not exceed 20 people</t>
  </si>
  <si>
    <t xml:space="preserve">Gather detailed process maps (Level 3), if they exist, and gain agreement from process owners. </t>
  </si>
  <si>
    <t>Gather existing data</t>
  </si>
  <si>
    <t>Arrange for two translators and translator equipment, if necessary</t>
  </si>
  <si>
    <t xml:space="preserve">Provide any local hotel and restaurant recommendations for any out of town participants. </t>
  </si>
  <si>
    <t>Also include directions and maps from the airport to the hotel and from the hotel to the business</t>
  </si>
  <si>
    <t>Arrange for catering</t>
  </si>
  <si>
    <t>Lunch should be provided each day. Coffee/tea/water, biscuits/cookies, snacks, fruit, and soft drinks should be available throughout the day for the participants. There may be a need to order in a meal in the event the teams need to work late into the evenings (very common on Thursday night)</t>
  </si>
  <si>
    <t>It is a best practice to post the agenda on the wall of the training room at the event and check off items throughout the day as they are accomplished</t>
  </si>
  <si>
    <t>Send Senior Management Team meeting request invite to attend Lean Event Kick-off (first hour)</t>
  </si>
  <si>
    <t>Tuesday evenings for one week events or Friday late morning for two week events (1 hour for meeting)</t>
  </si>
  <si>
    <t xml:space="preserve">Send SENIOR MANAGEMENT TEAM meeting request invite to attend Final Report-Out presentations at the end of the event </t>
  </si>
  <si>
    <t>Arrange Flipcharts and extra flipchart paper for Training Room and each Breakout Room</t>
  </si>
  <si>
    <t>Arrange for security access passes for all off-site participants</t>
  </si>
  <si>
    <t>If there is a guard or security desk, it is recommended to inform them of the event location in order to provide directions to out of town participants that first enter the facility</t>
  </si>
  <si>
    <t>Arrange for an LCD projector for the training room</t>
  </si>
  <si>
    <t>Depending on the event, this may also be necessary for each breakout room</t>
  </si>
  <si>
    <t>Create name tags for participants</t>
  </si>
  <si>
    <t>Include function on the nametag</t>
  </si>
  <si>
    <t>Set up training room</t>
  </si>
  <si>
    <t>Arrive early and be prepared</t>
  </si>
  <si>
    <t xml:space="preserve">It is a best practice for the event facilitator to arrive and be available at least one hour in advance of the attendees on the first day of the event. For very early start times that may be established mid-week, plan to arrive at least 20 minutes ahead of the start time. </t>
  </si>
  <si>
    <t>#</t>
  </si>
  <si>
    <t>Item</t>
  </si>
  <si>
    <t>Notes</t>
  </si>
  <si>
    <t>Item Owner</t>
  </si>
  <si>
    <t>Planned Dates</t>
  </si>
  <si>
    <t>Status</t>
  </si>
  <si>
    <t xml:space="preserve">   </t>
  </si>
  <si>
    <t>Name of Event:</t>
  </si>
  <si>
    <t>Review Date:</t>
  </si>
  <si>
    <t>Event Owner:</t>
  </si>
  <si>
    <t>Next Planned Review Date:</t>
  </si>
  <si>
    <t>Date of Event:</t>
  </si>
  <si>
    <t>Review Team:</t>
  </si>
  <si>
    <t>Location of Event:</t>
  </si>
  <si>
    <t>Rev 2</t>
  </si>
  <si>
    <t>This includes identification and approval of:
   • Process to be Leaned
   • Baseline goal and metrics
   • Key Objectives
   • Expected Financial Results</t>
  </si>
  <si>
    <t>Arrange supplies for the event</t>
  </si>
  <si>
    <t xml:space="preserve">• Determine desired set-up (small tables clustered, U-Shape, traditional, other) 
• Clean any white boards and other table surfaces 
• Set up and test any electronic equipment 
• Label the outside of the training room or door of training room with name of event (if necessary)
• Ensure all training supplies that are needed for the event are in the room and queued for use. </t>
  </si>
  <si>
    <t>Days Prior to Event</t>
  </si>
  <si>
    <t xml:space="preserve">Gather detailed process maps, if they exist, and gain agreement from process owners. </t>
  </si>
  <si>
    <t>Monday at start of the event (8:00)</t>
  </si>
  <si>
    <t>Guest WiFi Access</t>
  </si>
  <si>
    <t>Dan</t>
  </si>
  <si>
    <t>Andrea</t>
  </si>
  <si>
    <t>Christie</t>
  </si>
  <si>
    <t>Shay</t>
  </si>
  <si>
    <t>I'isha</t>
  </si>
  <si>
    <t>Varonica</t>
  </si>
  <si>
    <t>Terra</t>
  </si>
  <si>
    <t>Supervisor TP</t>
  </si>
  <si>
    <t>Supervisor WO</t>
  </si>
  <si>
    <t>Sr Dir Ops Integration</t>
  </si>
  <si>
    <t>Ops Support WO</t>
  </si>
  <si>
    <t>Processor WO</t>
  </si>
  <si>
    <t>Lab Aide WO</t>
  </si>
  <si>
    <t>Processor TP wknd</t>
  </si>
  <si>
    <t xml:space="preserve">Grady </t>
  </si>
  <si>
    <t>Supervisor TP wknd</t>
  </si>
  <si>
    <t>?</t>
  </si>
  <si>
    <t>Dir, Recovery Services</t>
  </si>
  <si>
    <t>has working in both areas</t>
  </si>
  <si>
    <t>Sr Mgr. Recovery Services</t>
  </si>
  <si>
    <t>Reserve 1 large conference/training room for the event</t>
  </si>
  <si>
    <t>Friday  late morning (1.5 hours for meeting)</t>
  </si>
  <si>
    <t>Commercial £</t>
  </si>
  <si>
    <t>Delivery</t>
  </si>
  <si>
    <t>Dave Saxby</t>
  </si>
  <si>
    <t>Andrew Blacklock</t>
  </si>
  <si>
    <t>Woody Wilson-Croome</t>
  </si>
  <si>
    <t>Luke Taylor</t>
  </si>
  <si>
    <t>Lee Hayman</t>
  </si>
  <si>
    <t>James Spitzer</t>
  </si>
  <si>
    <t>Mike Rolfe</t>
  </si>
  <si>
    <t>Kieran Jones</t>
  </si>
  <si>
    <t>Brett Lambourne</t>
  </si>
  <si>
    <t>Planning</t>
  </si>
  <si>
    <t>James Begley</t>
  </si>
  <si>
    <t>Joe Rutz</t>
  </si>
  <si>
    <t>CORE   TEAM</t>
  </si>
  <si>
    <t>Sarah Rahn</t>
  </si>
  <si>
    <t>Technical Manager</t>
  </si>
  <si>
    <t>Head of Technical</t>
  </si>
  <si>
    <t>Technical design</t>
  </si>
  <si>
    <t>Construction Director</t>
  </si>
  <si>
    <t>Head of Planning</t>
  </si>
  <si>
    <t>Head of Commercial</t>
  </si>
  <si>
    <t>Project Manager</t>
  </si>
  <si>
    <t>Operations Director</t>
  </si>
  <si>
    <t>Head of Development Marketing</t>
  </si>
  <si>
    <t>Bus. Ops &amp; Tech Director</t>
  </si>
  <si>
    <t>Facilitator (Lean Horizons)</t>
  </si>
  <si>
    <t>Sub / Support Team</t>
  </si>
  <si>
    <t xml:space="preserve"> Event Planning</t>
  </si>
  <si>
    <t>Bryan, Joe, Connie, Taryn</t>
  </si>
  <si>
    <t>Distribute agenda and any additional information to Attendees prior to commencement of Event</t>
  </si>
  <si>
    <t>Send invitation for Event to attendees</t>
  </si>
  <si>
    <t>Send invitation for  Event to attendees</t>
  </si>
  <si>
    <t>Schedule weekly - bi-weekly conference calls with facilitators to ensure all action items leading into Event are completed</t>
  </si>
  <si>
    <t>Team leaders discuss event and expectations to Associates prior to event asking for cooperation and assistance during the Event</t>
  </si>
  <si>
    <t xml:space="preserve">Prepare high level Business Overview for Event that will be delivered by the Business Leader during the kick-off. </t>
  </si>
  <si>
    <t xml:space="preserve">Send Senior Management Team meeting request invite to attend report out of the Value Stream Maps and Events </t>
  </si>
  <si>
    <t>The training room requires large wall space for process mapping (recommended 40 ft.). A best practice is to remove any conference tables or large furniture in order to free up floor space. The event must take place within the business facility versus off-site.</t>
  </si>
  <si>
    <t>Prefer u-shape.</t>
  </si>
  <si>
    <t>Name</t>
  </si>
  <si>
    <t>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</si>
</sst>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quot;days to event&quot;"/>
    <numFmt numFmtId="165" formatCode="[$-409]d\-mmm;@"/>
    <numFmt numFmtId="166" formatCode="[$-F800]dddd\,\ mmmm\ dd\,\ yyyy"/>
  </numFmts>
  <fonts count="16" x14ac:knownFonts="1">
    <font>
      <sz val="11"/>
      <color theme="1"/>
      <name val="Calibri"/>
      <family val="2"/>
      <scheme val="minor"/>
    </font>
    <font>
      <sz val="12"/>
      <color theme="1"/>
      <name val="Times New Roman"/>
      <family val="1"/>
    </font>
    <font>
      <sz val="8"/>
      <color theme="1"/>
      <name val="Arial"/>
      <family val="2"/>
    </font>
    <font>
      <b/>
      <sz val="10"/>
      <color theme="1"/>
      <name val="Arial"/>
      <family val="2"/>
    </font>
    <font>
      <b/>
      <sz val="10"/>
      <color rgb="FF000000"/>
      <name val="Arial"/>
      <family val="2"/>
    </font>
    <font>
      <sz val="20"/>
      <color theme="1"/>
      <name val="Arial"/>
      <family val="2"/>
    </font>
    <font>
      <sz val="10"/>
      <color theme="1"/>
      <name val="Arial"/>
      <family val="2"/>
    </font>
    <font>
      <b/>
      <sz val="9"/>
      <color theme="1"/>
      <name val="Arial"/>
      <family val="2"/>
    </font>
    <font>
      <b/>
      <sz val="8"/>
      <color theme="1"/>
      <name val="Arial"/>
      <family val="2"/>
    </font>
    <font>
      <sz val="11"/>
      <color rgb="FF006100"/>
      <name val="Calibri"/>
      <family val="2"/>
      <scheme val="minor"/>
    </font>
    <font>
      <sz val="11"/>
      <color rgb="FF9C0006"/>
      <name val="Calibri"/>
      <family val="2"/>
      <scheme val="minor"/>
    </font>
    <font>
      <sz val="11"/>
      <color rgb="FF9C5700"/>
      <name val="Calibri"/>
      <family val="2"/>
      <scheme val="minor"/>
    </font>
    <font>
      <sz val="22"/>
      <color theme="1"/>
      <name val="Calibri"/>
      <family val="2"/>
      <scheme val="minor"/>
    </font>
    <font>
      <b/>
      <sz val="14"/>
      <color theme="1"/>
      <name val="Calibri"/>
      <family val="2"/>
      <scheme val="minor"/>
    </font>
    <font>
      <b/>
      <sz val="11"/>
      <color theme="0"/>
      <name val="Calibri"/>
      <family val="2"/>
      <scheme val="minor"/>
    </font>
    <font>
      <sz val="10"/>
      <color rgb="FF006100"/>
      <name val="Calibri"/>
      <family val="2"/>
      <scheme val="minor"/>
    </font>
  </fonts>
  <fills count="13">
    <fill>
      <patternFill patternType="none"/>
    </fill>
    <fill>
      <patternFill patternType="gray125"/>
    </fill>
    <fill>
      <patternFill patternType="solid">
        <fgColor rgb="FFE6E6E6"/>
        <bgColor indexed="64"/>
      </patternFill>
    </fill>
    <fill>
      <patternFill patternType="solid">
        <fgColor rgb="FF00B0F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9"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7" tint="0.59999389629810485"/>
        <bgColor indexed="64"/>
      </patternFill>
    </fill>
  </fills>
  <borders count="27">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s>
  <cellStyleXfs count="4">
    <xf numFmtId="0" fontId="0" fillId="0" borderId="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cellStyleXfs>
  <cellXfs count="69">
    <xf numFmtId="0" fontId="0" fillId="0" borderId="0" xfId="0"/>
    <xf numFmtId="0" fontId="0" fillId="0" borderId="0" xfId="0" applyAlignment="1">
      <alignment horizontal="center"/>
    </xf>
    <xf numFmtId="0" fontId="1" fillId="0" borderId="0" xfId="0" applyFont="1" applyAlignment="1">
      <alignment vertical="center"/>
    </xf>
    <xf numFmtId="0" fontId="3" fillId="0" borderId="0" xfId="0" applyFont="1" applyAlignment="1">
      <alignment vertical="center" wrapText="1"/>
    </xf>
    <xf numFmtId="0" fontId="6" fillId="0" borderId="0" xfId="0" applyFont="1" applyAlignment="1">
      <alignment vertical="center" wrapText="1"/>
    </xf>
    <xf numFmtId="0" fontId="3"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164" fontId="2" fillId="0" borderId="3" xfId="0" applyNumberFormat="1" applyFont="1" applyBorder="1" applyAlignment="1">
      <alignment vertical="center" wrapText="1"/>
    </xf>
    <xf numFmtId="165" fontId="2" fillId="0" borderId="3" xfId="0" applyNumberFormat="1" applyFont="1" applyBorder="1" applyAlignment="1">
      <alignment horizontal="center" vertical="center" wrapText="1"/>
    </xf>
    <xf numFmtId="0" fontId="6"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left" vertical="center" wrapText="1"/>
    </xf>
    <xf numFmtId="0" fontId="6" fillId="0" borderId="0" xfId="0" applyFont="1" applyAlignment="1">
      <alignment horizontal="left" vertical="center" wrapText="1"/>
    </xf>
    <xf numFmtId="166" fontId="6" fillId="0" borderId="0" xfId="0" applyNumberFormat="1" applyFont="1" applyAlignment="1">
      <alignment horizontal="left" vertical="center" wrapText="1"/>
    </xf>
    <xf numFmtId="16" fontId="3" fillId="0" borderId="0" xfId="0" applyNumberFormat="1" applyFont="1" applyAlignment="1">
      <alignment vertical="center" wrapText="1"/>
    </xf>
    <xf numFmtId="0" fontId="7" fillId="0" borderId="0" xfId="0" applyFont="1" applyAlignment="1">
      <alignment horizontal="lef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3" xfId="0" applyFont="1" applyBorder="1" applyAlignment="1">
      <alignment horizontal="left" vertical="center" wrapText="1"/>
    </xf>
    <xf numFmtId="0" fontId="2" fillId="0" borderId="3" xfId="0" applyFont="1" applyBorder="1" applyAlignment="1">
      <alignment horizontal="left" vertical="center" wrapText="1" indent="2"/>
    </xf>
    <xf numFmtId="0" fontId="0" fillId="0" borderId="0" xfId="0" applyAlignment="1">
      <alignment vertical="center"/>
    </xf>
    <xf numFmtId="0" fontId="0" fillId="0" borderId="3" xfId="0" applyBorder="1" applyAlignment="1">
      <alignment vertical="center"/>
    </xf>
    <xf numFmtId="0" fontId="0" fillId="0" borderId="0" xfId="0" applyAlignment="1">
      <alignment vertical="center" wrapText="1"/>
    </xf>
    <xf numFmtId="0" fontId="4" fillId="2" borderId="6" xfId="0" applyFont="1" applyFill="1" applyBorder="1" applyAlignment="1">
      <alignment horizontal="center" vertical="center" wrapText="1"/>
    </xf>
    <xf numFmtId="0" fontId="2" fillId="0" borderId="7" xfId="0" applyFont="1" applyBorder="1" applyAlignment="1">
      <alignment horizontal="center" vertical="center" wrapText="1"/>
    </xf>
    <xf numFmtId="0" fontId="0" fillId="0" borderId="3" xfId="0" applyBorder="1" applyAlignment="1">
      <alignment vertical="center" wrapText="1"/>
    </xf>
    <xf numFmtId="0" fontId="0" fillId="0" borderId="3" xfId="0" applyBorder="1"/>
    <xf numFmtId="0" fontId="0" fillId="0" borderId="11" xfId="0" applyBorder="1"/>
    <xf numFmtId="0" fontId="0" fillId="0" borderId="13" xfId="0" applyBorder="1"/>
    <xf numFmtId="0" fontId="0" fillId="0" borderId="15" xfId="0" applyBorder="1"/>
    <xf numFmtId="0" fontId="0" fillId="7" borderId="11" xfId="0" applyFill="1" applyBorder="1"/>
    <xf numFmtId="0" fontId="0" fillId="7" borderId="13" xfId="0" applyFill="1" applyBorder="1"/>
    <xf numFmtId="0" fontId="0" fillId="7" borderId="3" xfId="0" applyFill="1" applyBorder="1"/>
    <xf numFmtId="0" fontId="0" fillId="0" borderId="23" xfId="0" applyBorder="1"/>
    <xf numFmtId="0" fontId="0" fillId="8" borderId="3" xfId="0" applyFill="1" applyBorder="1"/>
    <xf numFmtId="0" fontId="0" fillId="0" borderId="24" xfId="0" applyBorder="1"/>
    <xf numFmtId="0" fontId="0" fillId="0" borderId="25" xfId="0" applyBorder="1"/>
    <xf numFmtId="0" fontId="0" fillId="0" borderId="22" xfId="0" applyBorder="1"/>
    <xf numFmtId="0" fontId="0" fillId="7" borderId="24" xfId="0" applyFill="1" applyBorder="1"/>
    <xf numFmtId="0" fontId="0" fillId="8" borderId="13" xfId="0" applyFill="1" applyBorder="1" applyAlignment="1">
      <alignment vertical="center"/>
    </xf>
    <xf numFmtId="0" fontId="0" fillId="9" borderId="25" xfId="0" applyFill="1" applyBorder="1"/>
    <xf numFmtId="0" fontId="0" fillId="9" borderId="15" xfId="0" applyFill="1" applyBorder="1" applyAlignment="1">
      <alignment horizontal="left"/>
    </xf>
    <xf numFmtId="0" fontId="0" fillId="12" borderId="3" xfId="0" applyFill="1" applyBorder="1"/>
    <xf numFmtId="0" fontId="0" fillId="12" borderId="13" xfId="0" applyFill="1" applyBorder="1"/>
    <xf numFmtId="0" fontId="13" fillId="12" borderId="12" xfId="0" applyFont="1" applyFill="1" applyBorder="1" applyAlignment="1">
      <alignment horizontal="left"/>
    </xf>
    <xf numFmtId="0" fontId="13" fillId="9" borderId="14" xfId="0" applyFont="1" applyFill="1" applyBorder="1" applyAlignment="1">
      <alignment horizontal="left"/>
    </xf>
    <xf numFmtId="0" fontId="9" fillId="0" borderId="7" xfId="1" applyFill="1" applyBorder="1" applyAlignment="1">
      <alignment horizontal="center" vertical="center" wrapText="1"/>
    </xf>
    <xf numFmtId="0" fontId="11" fillId="0" borderId="7" xfId="3" applyFill="1" applyBorder="1" applyAlignment="1">
      <alignment horizontal="center" vertical="center" wrapText="1"/>
    </xf>
    <xf numFmtId="0" fontId="10" fillId="0" borderId="7" xfId="2" applyFill="1" applyBorder="1" applyAlignment="1">
      <alignment horizontal="center" vertical="center" wrapText="1"/>
    </xf>
    <xf numFmtId="0" fontId="14" fillId="3" borderId="0" xfId="0" applyFont="1" applyFill="1" applyAlignment="1">
      <alignment horizontal="center" vertical="center"/>
    </xf>
    <xf numFmtId="0" fontId="15" fillId="0" borderId="7" xfId="1" applyFont="1" applyFill="1" applyBorder="1" applyAlignment="1">
      <alignment horizontal="center" vertical="center" wrapText="1"/>
    </xf>
    <xf numFmtId="0" fontId="5" fillId="0" borderId="0" xfId="0" applyFont="1" applyAlignment="1">
      <alignment horizontal="center" vertical="center"/>
    </xf>
    <xf numFmtId="0" fontId="1" fillId="0" borderId="0" xfId="0" applyFont="1" applyAlignment="1">
      <alignment horizontal="center" vertical="center"/>
    </xf>
    <xf numFmtId="0" fontId="7" fillId="0" borderId="0" xfId="0" applyFont="1" applyAlignment="1">
      <alignment horizontal="left" vertical="center" wrapText="1"/>
    </xf>
    <xf numFmtId="0" fontId="8" fillId="0" borderId="0" xfId="0" applyFont="1" applyAlignment="1">
      <alignment horizontal="left" vertical="center" wrapText="1"/>
    </xf>
    <xf numFmtId="0" fontId="0" fillId="11" borderId="20" xfId="0" applyFill="1" applyBorder="1" applyAlignment="1">
      <alignment horizontal="center" vertical="center"/>
    </xf>
    <xf numFmtId="0" fontId="0" fillId="11" borderId="10" xfId="0" applyFill="1" applyBorder="1" applyAlignment="1">
      <alignment horizontal="center" vertical="center"/>
    </xf>
    <xf numFmtId="0" fontId="0" fillId="11" borderId="19" xfId="0" applyFill="1" applyBorder="1" applyAlignment="1">
      <alignment horizontal="center" vertical="center"/>
    </xf>
    <xf numFmtId="0" fontId="0" fillId="11" borderId="8" xfId="0" applyFill="1" applyBorder="1" applyAlignment="1">
      <alignment horizontal="center" vertical="center"/>
    </xf>
    <xf numFmtId="0" fontId="0" fillId="11" borderId="21" xfId="0" applyFill="1" applyBorder="1" applyAlignment="1">
      <alignment horizontal="center" vertical="center"/>
    </xf>
    <xf numFmtId="0" fontId="0" fillId="11" borderId="26" xfId="0" applyFill="1" applyBorder="1" applyAlignment="1">
      <alignment horizontal="center" vertical="center"/>
    </xf>
    <xf numFmtId="0" fontId="13" fillId="7" borderId="9" xfId="0" applyFont="1" applyFill="1" applyBorder="1" applyAlignment="1">
      <alignment horizontal="left" vertical="center"/>
    </xf>
    <xf numFmtId="0" fontId="13" fillId="7" borderId="12" xfId="0" applyFont="1" applyFill="1" applyBorder="1" applyAlignment="1">
      <alignment horizontal="left" vertical="center"/>
    </xf>
    <xf numFmtId="0" fontId="13" fillId="8" borderId="12" xfId="0" applyFont="1" applyFill="1" applyBorder="1" applyAlignment="1">
      <alignment horizontal="left" vertical="center"/>
    </xf>
    <xf numFmtId="0" fontId="12" fillId="10" borderId="16" xfId="0" applyFont="1" applyFill="1" applyBorder="1" applyAlignment="1">
      <alignment horizontal="center" vertical="center" wrapText="1"/>
    </xf>
    <xf numFmtId="0" fontId="12" fillId="10" borderId="17" xfId="0" applyFont="1" applyFill="1" applyBorder="1" applyAlignment="1">
      <alignment horizontal="center" vertical="center" wrapText="1"/>
    </xf>
    <xf numFmtId="0" fontId="12" fillId="10" borderId="18" xfId="0" applyFont="1" applyFill="1" applyBorder="1" applyAlignment="1">
      <alignment horizontal="center" vertical="center" wrapText="1"/>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571500</xdr:colOff>
      <xdr:row>1</xdr:row>
      <xdr:rowOff>9525</xdr:rowOff>
    </xdr:to>
    <xdr:pic>
      <xdr:nvPicPr>
        <xdr:cNvPr id="2" name="Picture 1">
          <a:extLst>
            <a:ext uri="{FF2B5EF4-FFF2-40B4-BE49-F238E27FC236}">
              <a16:creationId xmlns:a16="http://schemas.microsoft.com/office/drawing/2014/main" id="{D81410D9-C721-4EDD-9E5F-E077F7EB85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944725" y="190500"/>
          <a:ext cx="571500" cy="333375"/>
        </a:xfrm>
        <a:prstGeom prst="rect">
          <a:avLst/>
        </a:prstGeom>
        <a:solidFill>
          <a:srgbClr val="FFFFFF"/>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5E1D-B979-41BF-B9CD-AC57534AB8C4}">
  <dimension ref="A1:U34"/>
  <sheetViews>
    <sheetView showGridLines="0" tabSelected="1" zoomScale="120" zoomScaleNormal="120" zoomScalePageLayoutView="110" workbookViewId="0">
      <selection activeCell="G9" sqref="G9"/>
    </sheetView>
  </sheetViews>
  <sheetFormatPr baseColWidth="10" defaultColWidth="8.83203125" defaultRowHeight="15" x14ac:dyDescent="0.2"/>
  <cols>
    <col min="1" max="1" width="5.83203125" style="1" customWidth="1"/>
    <col min="2" max="2" width="36.5" customWidth="1"/>
    <col min="3" max="3" width="50.5" customWidth="1"/>
    <col min="4" max="4" width="13.5" style="1" customWidth="1"/>
    <col min="5" max="5" width="12.5" bestFit="1" customWidth="1"/>
    <col min="6" max="6" width="9.1640625" customWidth="1"/>
    <col min="7" max="7" width="9.1640625" style="1"/>
    <col min="8" max="8" width="42.5" style="24" customWidth="1"/>
  </cols>
  <sheetData>
    <row r="1" spans="1:21" ht="25" x14ac:dyDescent="0.2">
      <c r="A1" s="2" t="s">
        <v>34</v>
      </c>
      <c r="B1" s="53" t="s">
        <v>100</v>
      </c>
      <c r="C1" s="54"/>
      <c r="D1" s="54"/>
      <c r="E1" s="54"/>
      <c r="G1" s="12" t="s">
        <v>42</v>
      </c>
    </row>
    <row r="3" spans="1:21" x14ac:dyDescent="0.2">
      <c r="B3" s="17" t="s">
        <v>35</v>
      </c>
      <c r="C3" s="14"/>
      <c r="D3" s="55" t="s">
        <v>36</v>
      </c>
      <c r="E3" s="55"/>
      <c r="F3" s="16">
        <v>45762</v>
      </c>
    </row>
    <row r="4" spans="1:21" ht="15" customHeight="1" x14ac:dyDescent="0.2">
      <c r="B4" s="17" t="s">
        <v>37</v>
      </c>
      <c r="C4" s="14"/>
      <c r="D4" s="55" t="s">
        <v>38</v>
      </c>
      <c r="E4" s="55"/>
      <c r="F4" s="16">
        <v>45769</v>
      </c>
    </row>
    <row r="5" spans="1:21" ht="26.25" customHeight="1" x14ac:dyDescent="0.2">
      <c r="B5" s="17" t="s">
        <v>39</v>
      </c>
      <c r="C5" s="15">
        <v>45810</v>
      </c>
      <c r="D5" s="17" t="s">
        <v>40</v>
      </c>
      <c r="F5" s="56" t="s">
        <v>101</v>
      </c>
      <c r="G5" s="56"/>
    </row>
    <row r="6" spans="1:21" x14ac:dyDescent="0.2">
      <c r="B6" s="17" t="s">
        <v>41</v>
      </c>
      <c r="C6" s="14"/>
      <c r="D6" s="11"/>
    </row>
    <row r="7" spans="1:21" ht="16" thickBot="1" x14ac:dyDescent="0.25">
      <c r="B7" s="13"/>
      <c r="C7" s="14"/>
      <c r="D7" s="11"/>
    </row>
    <row r="8" spans="1:21" ht="28" x14ac:dyDescent="0.2">
      <c r="A8" s="5" t="s">
        <v>28</v>
      </c>
      <c r="B8" s="6" t="s">
        <v>29</v>
      </c>
      <c r="C8" s="6" t="s">
        <v>30</v>
      </c>
      <c r="D8" s="6" t="s">
        <v>31</v>
      </c>
      <c r="E8" s="6" t="s">
        <v>46</v>
      </c>
      <c r="F8" s="6" t="s">
        <v>32</v>
      </c>
      <c r="G8" s="25" t="s">
        <v>33</v>
      </c>
      <c r="H8" s="27"/>
      <c r="R8" s="3"/>
      <c r="S8" s="4"/>
      <c r="T8" s="3"/>
      <c r="U8" s="4"/>
    </row>
    <row r="9" spans="1:21" ht="60" x14ac:dyDescent="0.2">
      <c r="A9" s="7">
        <v>1</v>
      </c>
      <c r="B9" s="8" t="s">
        <v>0</v>
      </c>
      <c r="C9" s="8" t="s">
        <v>43</v>
      </c>
      <c r="D9" s="7"/>
      <c r="E9" s="9">
        <v>30</v>
      </c>
      <c r="F9" s="10">
        <f t="shared" ref="F9:F16" si="0">$C$5-E9</f>
        <v>45780</v>
      </c>
      <c r="G9" s="52"/>
      <c r="H9" s="27"/>
      <c r="R9" s="3"/>
      <c r="S9" s="4"/>
      <c r="T9" s="3"/>
      <c r="U9" s="4"/>
    </row>
    <row r="10" spans="1:21" ht="48" x14ac:dyDescent="0.2">
      <c r="A10" s="7">
        <v>2</v>
      </c>
      <c r="B10" s="8" t="s">
        <v>1</v>
      </c>
      <c r="C10" s="8" t="s">
        <v>2</v>
      </c>
      <c r="D10" s="7"/>
      <c r="E10" s="9">
        <v>21</v>
      </c>
      <c r="F10" s="10">
        <f t="shared" si="0"/>
        <v>45789</v>
      </c>
      <c r="G10" s="48"/>
      <c r="H10" s="27"/>
      <c r="R10" s="3"/>
      <c r="S10" s="4"/>
      <c r="T10" s="3"/>
      <c r="U10" s="4"/>
    </row>
    <row r="11" spans="1:21" ht="36" x14ac:dyDescent="0.2">
      <c r="A11" s="7">
        <v>3</v>
      </c>
      <c r="B11" s="8" t="s">
        <v>3</v>
      </c>
      <c r="C11" s="8" t="s">
        <v>4</v>
      </c>
      <c r="D11" s="7"/>
      <c r="E11" s="9">
        <v>30</v>
      </c>
      <c r="F11" s="10">
        <f t="shared" si="0"/>
        <v>45780</v>
      </c>
      <c r="G11" s="49"/>
      <c r="H11" s="27"/>
      <c r="R11" s="3"/>
      <c r="S11" s="4"/>
      <c r="T11" s="3"/>
      <c r="U11" s="4"/>
    </row>
    <row r="12" spans="1:21" ht="24" x14ac:dyDescent="0.2">
      <c r="A12" s="7">
        <v>4</v>
      </c>
      <c r="B12" s="8" t="s">
        <v>5</v>
      </c>
      <c r="C12" s="8" t="s">
        <v>6</v>
      </c>
      <c r="D12" s="7"/>
      <c r="E12" s="9">
        <v>20</v>
      </c>
      <c r="F12" s="10">
        <f t="shared" si="0"/>
        <v>45790</v>
      </c>
      <c r="G12" s="48"/>
      <c r="H12" s="27"/>
    </row>
    <row r="13" spans="1:21" ht="37" thickBot="1" x14ac:dyDescent="0.25">
      <c r="A13" s="7">
        <v>5</v>
      </c>
      <c r="B13" s="8" t="s">
        <v>70</v>
      </c>
      <c r="C13" s="8" t="s">
        <v>109</v>
      </c>
      <c r="D13" s="7"/>
      <c r="E13" s="9">
        <v>15</v>
      </c>
      <c r="F13" s="10">
        <f t="shared" si="0"/>
        <v>45795</v>
      </c>
      <c r="G13" s="48"/>
      <c r="H13" s="27"/>
    </row>
    <row r="14" spans="1:21" ht="16" thickBot="1" x14ac:dyDescent="0.25">
      <c r="A14" s="7">
        <v>6</v>
      </c>
      <c r="B14" s="8" t="s">
        <v>103</v>
      </c>
      <c r="C14" s="18" t="s">
        <v>104</v>
      </c>
      <c r="D14" s="7"/>
      <c r="E14" s="9">
        <v>15</v>
      </c>
      <c r="F14" s="10">
        <f t="shared" si="0"/>
        <v>45795</v>
      </c>
      <c r="G14" s="48"/>
      <c r="H14" s="27"/>
    </row>
    <row r="15" spans="1:21" ht="25" thickBot="1" x14ac:dyDescent="0.25">
      <c r="A15" s="7">
        <v>7</v>
      </c>
      <c r="B15" s="8" t="s">
        <v>47</v>
      </c>
      <c r="C15" s="19" t="s">
        <v>7</v>
      </c>
      <c r="D15" s="7"/>
      <c r="E15" s="9">
        <v>14</v>
      </c>
      <c r="F15" s="10">
        <f t="shared" si="0"/>
        <v>45796</v>
      </c>
      <c r="G15" s="49"/>
      <c r="H15" s="27"/>
    </row>
    <row r="16" spans="1:21" x14ac:dyDescent="0.2">
      <c r="A16" s="7">
        <v>8</v>
      </c>
      <c r="B16" s="8" t="s">
        <v>8</v>
      </c>
      <c r="C16" s="20"/>
      <c r="D16" s="7"/>
      <c r="E16" s="9">
        <v>14</v>
      </c>
      <c r="F16" s="10">
        <f t="shared" si="0"/>
        <v>45796</v>
      </c>
      <c r="G16" s="50"/>
      <c r="H16" s="27"/>
    </row>
    <row r="17" spans="1:8" ht="24" x14ac:dyDescent="0.2">
      <c r="A17" s="7">
        <v>9</v>
      </c>
      <c r="B17" s="8" t="s">
        <v>105</v>
      </c>
      <c r="C17" s="8"/>
      <c r="D17" s="7"/>
      <c r="E17" s="9">
        <v>21</v>
      </c>
      <c r="F17" s="10">
        <f t="shared" ref="F17:F18" si="1">$C$5-E17</f>
        <v>45789</v>
      </c>
      <c r="G17" s="50"/>
      <c r="H17" s="27"/>
    </row>
    <row r="18" spans="1:8" ht="24" hidden="1" x14ac:dyDescent="0.2">
      <c r="A18" s="7">
        <v>10</v>
      </c>
      <c r="B18" s="8" t="s">
        <v>9</v>
      </c>
      <c r="C18" s="8"/>
      <c r="D18" s="7"/>
      <c r="E18" s="9">
        <v>30</v>
      </c>
      <c r="F18" s="10">
        <f t="shared" si="1"/>
        <v>45780</v>
      </c>
      <c r="G18" s="26"/>
      <c r="H18" s="27"/>
    </row>
    <row r="19" spans="1:8" ht="24" x14ac:dyDescent="0.2">
      <c r="A19" s="7">
        <v>11</v>
      </c>
      <c r="B19" s="8" t="s">
        <v>10</v>
      </c>
      <c r="C19" s="8" t="s">
        <v>11</v>
      </c>
      <c r="D19" s="7"/>
      <c r="E19" s="9">
        <v>30</v>
      </c>
      <c r="F19" s="10">
        <f>$C$5-E19</f>
        <v>45780</v>
      </c>
      <c r="G19" s="48"/>
      <c r="H19" s="27"/>
    </row>
    <row r="20" spans="1:8" ht="36" x14ac:dyDescent="0.2">
      <c r="A20" s="7">
        <v>12</v>
      </c>
      <c r="B20" s="8" t="s">
        <v>106</v>
      </c>
      <c r="C20" s="8"/>
      <c r="D20" s="7"/>
      <c r="E20" s="9">
        <v>14</v>
      </c>
      <c r="F20" s="10">
        <f>$C$5-E20</f>
        <v>45796</v>
      </c>
      <c r="G20" s="50"/>
      <c r="H20" s="27"/>
    </row>
    <row r="21" spans="1:8" ht="48" x14ac:dyDescent="0.2">
      <c r="A21" s="7">
        <v>13</v>
      </c>
      <c r="B21" s="8" t="s">
        <v>12</v>
      </c>
      <c r="C21" s="8" t="s">
        <v>13</v>
      </c>
      <c r="D21" s="7"/>
      <c r="E21" s="9">
        <v>7</v>
      </c>
      <c r="F21" s="10">
        <f>$C$5-E21</f>
        <v>45803</v>
      </c>
      <c r="G21" s="50"/>
      <c r="H21" s="27"/>
    </row>
    <row r="22" spans="1:8" ht="24" x14ac:dyDescent="0.2">
      <c r="A22" s="7">
        <v>14</v>
      </c>
      <c r="B22" s="8" t="s">
        <v>102</v>
      </c>
      <c r="C22" s="8" t="s">
        <v>14</v>
      </c>
      <c r="D22" s="7"/>
      <c r="E22" s="9">
        <v>7</v>
      </c>
      <c r="F22" s="10">
        <f>$C$5-E22</f>
        <v>45803</v>
      </c>
      <c r="G22" s="49"/>
      <c r="H22" s="27"/>
    </row>
    <row r="23" spans="1:8" ht="24" x14ac:dyDescent="0.2">
      <c r="A23" s="7">
        <v>16</v>
      </c>
      <c r="B23" s="8" t="s">
        <v>107</v>
      </c>
      <c r="C23" s="8"/>
      <c r="D23" s="7"/>
      <c r="E23" s="9">
        <v>7</v>
      </c>
      <c r="F23" s="10">
        <f>$C$5-E23</f>
        <v>45803</v>
      </c>
      <c r="G23" s="49"/>
      <c r="H23" s="27"/>
    </row>
    <row r="24" spans="1:8" ht="24" x14ac:dyDescent="0.2">
      <c r="A24" s="7">
        <v>17</v>
      </c>
      <c r="B24" s="8" t="s">
        <v>15</v>
      </c>
      <c r="C24" s="8"/>
      <c r="D24" s="7"/>
      <c r="E24" s="9">
        <v>7</v>
      </c>
      <c r="F24" s="10">
        <f t="shared" ref="F24:F34" si="2">$C$5-E24</f>
        <v>45803</v>
      </c>
      <c r="G24" s="49"/>
      <c r="H24" s="27"/>
    </row>
    <row r="25" spans="1:8" ht="24" x14ac:dyDescent="0.2">
      <c r="A25" s="7">
        <v>18</v>
      </c>
      <c r="B25" s="8" t="s">
        <v>108</v>
      </c>
      <c r="C25" s="8" t="s">
        <v>16</v>
      </c>
      <c r="D25" s="7"/>
      <c r="E25" s="9">
        <v>7</v>
      </c>
      <c r="F25" s="10">
        <f t="shared" si="2"/>
        <v>45803</v>
      </c>
      <c r="G25" s="49"/>
      <c r="H25" s="27" t="s">
        <v>48</v>
      </c>
    </row>
    <row r="26" spans="1:8" ht="24" x14ac:dyDescent="0.2">
      <c r="A26" s="7">
        <v>19</v>
      </c>
      <c r="B26" s="8" t="s">
        <v>17</v>
      </c>
      <c r="C26" s="8" t="s">
        <v>71</v>
      </c>
      <c r="D26" s="7"/>
      <c r="E26" s="9">
        <v>7</v>
      </c>
      <c r="F26" s="10">
        <f t="shared" si="2"/>
        <v>45803</v>
      </c>
      <c r="G26" s="49"/>
      <c r="H26" s="27"/>
    </row>
    <row r="27" spans="1:8" ht="24" x14ac:dyDescent="0.2">
      <c r="A27" s="7">
        <v>20</v>
      </c>
      <c r="B27" s="8" t="s">
        <v>18</v>
      </c>
      <c r="C27" s="8"/>
      <c r="D27" s="7"/>
      <c r="E27" s="9">
        <v>7</v>
      </c>
      <c r="F27" s="10">
        <f t="shared" si="2"/>
        <v>45803</v>
      </c>
      <c r="G27" s="49"/>
      <c r="H27" s="27"/>
    </row>
    <row r="28" spans="1:8" ht="36" x14ac:dyDescent="0.2">
      <c r="A28" s="7">
        <v>21</v>
      </c>
      <c r="B28" s="8" t="s">
        <v>19</v>
      </c>
      <c r="C28" s="8" t="s">
        <v>20</v>
      </c>
      <c r="D28" s="7"/>
      <c r="E28" s="9">
        <v>7</v>
      </c>
      <c r="F28" s="10">
        <f t="shared" si="2"/>
        <v>45803</v>
      </c>
      <c r="G28" s="49"/>
      <c r="H28" s="27"/>
    </row>
    <row r="29" spans="1:8" x14ac:dyDescent="0.2">
      <c r="A29" s="7">
        <v>22</v>
      </c>
      <c r="B29" s="8" t="s">
        <v>21</v>
      </c>
      <c r="C29" s="8" t="s">
        <v>22</v>
      </c>
      <c r="D29" s="7"/>
      <c r="E29" s="9">
        <v>7</v>
      </c>
      <c r="F29" s="10">
        <f t="shared" si="2"/>
        <v>45803</v>
      </c>
      <c r="G29" s="49"/>
      <c r="H29" s="27"/>
    </row>
    <row r="30" spans="1:8" x14ac:dyDescent="0.2">
      <c r="A30" s="7">
        <v>23</v>
      </c>
      <c r="B30" s="8" t="s">
        <v>44</v>
      </c>
      <c r="C30" s="21"/>
      <c r="D30" s="7"/>
      <c r="E30" s="9">
        <v>7</v>
      </c>
      <c r="F30" s="10">
        <f t="shared" si="2"/>
        <v>45803</v>
      </c>
      <c r="G30" s="26"/>
      <c r="H30" s="27"/>
    </row>
    <row r="31" spans="1:8" x14ac:dyDescent="0.2">
      <c r="A31" s="7">
        <v>24</v>
      </c>
      <c r="B31" s="8" t="s">
        <v>49</v>
      </c>
      <c r="C31" s="21"/>
      <c r="D31" s="7"/>
      <c r="E31" s="9">
        <v>3</v>
      </c>
      <c r="F31" s="10">
        <f t="shared" si="2"/>
        <v>45807</v>
      </c>
      <c r="G31" s="49"/>
      <c r="H31" s="27"/>
    </row>
    <row r="32" spans="1:8" x14ac:dyDescent="0.2">
      <c r="A32" s="7">
        <v>25</v>
      </c>
      <c r="B32" s="8" t="s">
        <v>23</v>
      </c>
      <c r="C32" s="8" t="s">
        <v>24</v>
      </c>
      <c r="D32" s="7"/>
      <c r="E32" s="9">
        <v>3</v>
      </c>
      <c r="F32" s="10">
        <f t="shared" si="2"/>
        <v>45807</v>
      </c>
      <c r="G32" s="49"/>
      <c r="H32" s="27"/>
    </row>
    <row r="33" spans="1:8" ht="84" x14ac:dyDescent="0.2">
      <c r="A33" s="7">
        <v>26</v>
      </c>
      <c r="B33" s="8" t="s">
        <v>25</v>
      </c>
      <c r="C33" s="20" t="s">
        <v>45</v>
      </c>
      <c r="D33" s="7"/>
      <c r="E33" s="9">
        <v>3</v>
      </c>
      <c r="F33" s="10">
        <f t="shared" si="2"/>
        <v>45807</v>
      </c>
      <c r="G33" s="49"/>
      <c r="H33" s="27" t="s">
        <v>110</v>
      </c>
    </row>
    <row r="34" spans="1:8" ht="48" x14ac:dyDescent="0.2">
      <c r="A34" s="7">
        <v>27</v>
      </c>
      <c r="B34" s="8" t="s">
        <v>26</v>
      </c>
      <c r="C34" s="8" t="s">
        <v>27</v>
      </c>
      <c r="D34" s="7"/>
      <c r="E34" s="9">
        <v>0</v>
      </c>
      <c r="F34" s="10">
        <f t="shared" si="2"/>
        <v>45810</v>
      </c>
      <c r="G34" s="26"/>
      <c r="H34" s="27"/>
    </row>
  </sheetData>
  <mergeCells count="4">
    <mergeCell ref="B1:E1"/>
    <mergeCell ref="D3:E3"/>
    <mergeCell ref="D4:E4"/>
    <mergeCell ref="F5:G5"/>
  </mergeCells>
  <pageMargins left="0.7" right="0.7" top="0.75" bottom="0.75" header="0.3" footer="0.3"/>
  <pageSetup scale="8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A35ED-77E3-4E0D-A50C-0CF859D28E19}">
  <dimension ref="B2:K31"/>
  <sheetViews>
    <sheetView topLeftCell="G1" workbookViewId="0">
      <selection activeCell="K2" sqref="K2"/>
    </sheetView>
  </sheetViews>
  <sheetFormatPr baseColWidth="10" defaultColWidth="8.83203125" defaultRowHeight="15" x14ac:dyDescent="0.2"/>
  <cols>
    <col min="1" max="1" width="4.5" customWidth="1"/>
    <col min="2" max="2" width="9.1640625" customWidth="1"/>
    <col min="3" max="3" width="22" customWidth="1"/>
    <col min="4" max="4" width="1.83203125" customWidth="1"/>
    <col min="5" max="5" width="9.1640625" customWidth="1"/>
    <col min="6" max="6" width="22" customWidth="1"/>
    <col min="7" max="7" width="1.83203125" customWidth="1"/>
    <col min="8" max="8" width="9.1640625" customWidth="1"/>
    <col min="9" max="9" width="25.83203125" bestFit="1" customWidth="1"/>
    <col min="10" max="10" width="1.83203125" customWidth="1"/>
    <col min="11" max="11" width="17.5" customWidth="1"/>
    <col min="12" max="12" width="22" customWidth="1"/>
    <col min="13" max="13" width="1.83203125" customWidth="1"/>
    <col min="14" max="14" width="9.1640625" customWidth="1"/>
    <col min="15" max="15" width="22" customWidth="1"/>
    <col min="16" max="16" width="1.83203125" customWidth="1"/>
    <col min="17" max="17" width="9.1640625" customWidth="1"/>
    <col min="18" max="18" width="22" customWidth="1"/>
    <col min="19" max="19" width="1.83203125" customWidth="1"/>
    <col min="20" max="20" width="9.1640625" customWidth="1"/>
    <col min="21" max="21" width="22" customWidth="1"/>
    <col min="22" max="22" width="1.83203125" customWidth="1"/>
    <col min="23" max="23" width="9.1640625" customWidth="1"/>
  </cols>
  <sheetData>
    <row r="2" spans="2:11" s="22" customFormat="1" ht="18.75" customHeight="1" x14ac:dyDescent="0.2">
      <c r="B2" s="23" t="s">
        <v>51</v>
      </c>
      <c r="C2" s="23" t="s">
        <v>67</v>
      </c>
      <c r="E2" s="23" t="s">
        <v>50</v>
      </c>
      <c r="F2" s="23" t="s">
        <v>59</v>
      </c>
      <c r="I2" s="51" t="s">
        <v>111</v>
      </c>
      <c r="K2" s="51" t="s">
        <v>112</v>
      </c>
    </row>
    <row r="3" spans="2:11" s="22" customFormat="1" ht="18.75" customHeight="1" x14ac:dyDescent="0.2">
      <c r="B3" s="23" t="s">
        <v>52</v>
      </c>
      <c r="C3" s="23" t="s">
        <v>69</v>
      </c>
      <c r="E3" s="23" t="s">
        <v>53</v>
      </c>
      <c r="F3" s="23" t="s">
        <v>58</v>
      </c>
    </row>
    <row r="4" spans="2:11" s="22" customFormat="1" ht="18.75" customHeight="1" x14ac:dyDescent="0.2">
      <c r="B4" s="23" t="s">
        <v>66</v>
      </c>
      <c r="C4" s="23"/>
      <c r="E4" s="23" t="s">
        <v>54</v>
      </c>
      <c r="F4" s="23" t="s">
        <v>57</v>
      </c>
    </row>
    <row r="5" spans="2:11" s="22" customFormat="1" ht="24.75" customHeight="1" x14ac:dyDescent="0.2">
      <c r="E5" s="23" t="s">
        <v>64</v>
      </c>
      <c r="F5" s="23" t="s">
        <v>65</v>
      </c>
    </row>
    <row r="6" spans="2:11" s="22" customFormat="1" ht="18.75" customHeight="1" x14ac:dyDescent="0.2">
      <c r="E6" s="23" t="s">
        <v>55</v>
      </c>
      <c r="F6" s="23" t="s">
        <v>60</v>
      </c>
    </row>
    <row r="7" spans="2:11" s="22" customFormat="1" ht="18.75" customHeight="1" x14ac:dyDescent="0.2">
      <c r="E7" s="23" t="s">
        <v>56</v>
      </c>
      <c r="F7" s="23" t="s">
        <v>60</v>
      </c>
    </row>
    <row r="8" spans="2:11" s="22" customFormat="1" ht="18.75" customHeight="1" x14ac:dyDescent="0.2">
      <c r="E8" s="23" t="s">
        <v>66</v>
      </c>
      <c r="F8" s="23" t="s">
        <v>61</v>
      </c>
    </row>
    <row r="9" spans="2:11" s="22" customFormat="1" ht="18.75" customHeight="1" x14ac:dyDescent="0.2">
      <c r="E9" s="23" t="s">
        <v>66</v>
      </c>
      <c r="F9" s="23" t="s">
        <v>62</v>
      </c>
    </row>
    <row r="10" spans="2:11" s="22" customFormat="1" ht="18.75" customHeight="1" x14ac:dyDescent="0.2">
      <c r="E10" s="23" t="s">
        <v>66</v>
      </c>
      <c r="F10" s="23" t="s">
        <v>63</v>
      </c>
    </row>
    <row r="11" spans="2:11" s="22" customFormat="1" ht="18.75" customHeight="1" x14ac:dyDescent="0.2"/>
    <row r="12" spans="2:11" s="22" customFormat="1" ht="18.75" customHeight="1" x14ac:dyDescent="0.2"/>
    <row r="13" spans="2:11" s="22" customFormat="1" ht="18.75" customHeight="1" x14ac:dyDescent="0.2"/>
    <row r="14" spans="2:11" s="22" customFormat="1" ht="18.75" customHeight="1" x14ac:dyDescent="0.2"/>
    <row r="15" spans="2:11" s="22" customFormat="1" ht="28.5" customHeight="1" x14ac:dyDescent="0.2"/>
    <row r="16" spans="2:11" s="22" customFormat="1" ht="18.75" customHeight="1" x14ac:dyDescent="0.2"/>
    <row r="17" spans="4:4" s="22" customFormat="1" ht="18.75" customHeight="1" x14ac:dyDescent="0.2"/>
    <row r="18" spans="4:4" s="22" customFormat="1" ht="18.75" customHeight="1" x14ac:dyDescent="0.2"/>
    <row r="19" spans="4:4" s="22" customFormat="1" ht="18.75" customHeight="1" x14ac:dyDescent="0.2"/>
    <row r="20" spans="4:4" s="22" customFormat="1" ht="18.75" customHeight="1" x14ac:dyDescent="0.2"/>
    <row r="21" spans="4:4" s="22" customFormat="1" ht="18.75" customHeight="1" x14ac:dyDescent="0.2"/>
    <row r="22" spans="4:4" s="22" customFormat="1" ht="27" customHeight="1" x14ac:dyDescent="0.2"/>
    <row r="23" spans="4:4" s="22" customFormat="1" ht="18.75" customHeight="1" x14ac:dyDescent="0.2"/>
    <row r="24" spans="4:4" s="22" customFormat="1" ht="24.75" customHeight="1" x14ac:dyDescent="0.2"/>
    <row r="25" spans="4:4" s="22" customFormat="1" ht="18.75" customHeight="1" x14ac:dyDescent="0.2">
      <c r="D25" s="22" t="s">
        <v>68</v>
      </c>
    </row>
    <row r="26" spans="4:4" s="22" customFormat="1" ht="25.5" customHeight="1" x14ac:dyDescent="0.2"/>
    <row r="27" spans="4:4" s="22" customFormat="1" ht="18.75" customHeight="1" x14ac:dyDescent="0.2"/>
    <row r="28" spans="4:4" s="22" customFormat="1" ht="18.75" customHeight="1" x14ac:dyDescent="0.2"/>
    <row r="29" spans="4:4" s="22" customFormat="1" ht="18.75" customHeight="1" x14ac:dyDescent="0.2"/>
    <row r="30" spans="4:4" s="22" customFormat="1" ht="18.75" customHeight="1" x14ac:dyDescent="0.2"/>
    <row r="31" spans="4:4" s="22" customFormat="1" ht="18.75" customHeight="1" x14ac:dyDescent="0.2"/>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1E94-BED3-41A4-A7BC-ECCE1E9D441A}">
  <dimension ref="B1:E15"/>
  <sheetViews>
    <sheetView workbookViewId="0">
      <selection activeCell="C20" sqref="C20"/>
    </sheetView>
  </sheetViews>
  <sheetFormatPr baseColWidth="10" defaultColWidth="8.83203125" defaultRowHeight="15" x14ac:dyDescent="0.2"/>
  <cols>
    <col min="2" max="2" width="20" customWidth="1"/>
    <col min="3" max="3" width="19.1640625" customWidth="1"/>
    <col min="4" max="4" width="25.83203125" customWidth="1"/>
    <col min="5" max="5" width="30" bestFit="1" customWidth="1"/>
  </cols>
  <sheetData>
    <row r="1" spans="2:5" ht="16" thickBot="1" x14ac:dyDescent="0.25"/>
    <row r="2" spans="2:5" ht="16" thickBot="1" x14ac:dyDescent="0.25">
      <c r="D2" s="39" t="s">
        <v>85</v>
      </c>
      <c r="E2" s="35" t="s">
        <v>98</v>
      </c>
    </row>
    <row r="3" spans="2:5" ht="16" thickBot="1" x14ac:dyDescent="0.25"/>
    <row r="4" spans="2:5" x14ac:dyDescent="0.2">
      <c r="B4" s="66" t="s">
        <v>86</v>
      </c>
      <c r="C4" s="63" t="s">
        <v>90</v>
      </c>
      <c r="D4" s="40" t="s">
        <v>76</v>
      </c>
      <c r="E4" s="32" t="s">
        <v>89</v>
      </c>
    </row>
    <row r="5" spans="2:5" x14ac:dyDescent="0.2">
      <c r="B5" s="67"/>
      <c r="C5" s="64"/>
      <c r="D5" s="34" t="s">
        <v>75</v>
      </c>
      <c r="E5" s="33" t="s">
        <v>89</v>
      </c>
    </row>
    <row r="6" spans="2:5" x14ac:dyDescent="0.2">
      <c r="B6" s="67"/>
      <c r="C6" s="64"/>
      <c r="D6" s="34" t="s">
        <v>79</v>
      </c>
      <c r="E6" s="33" t="s">
        <v>88</v>
      </c>
    </row>
    <row r="7" spans="2:5" x14ac:dyDescent="0.2">
      <c r="B7" s="67"/>
      <c r="C7" s="64"/>
      <c r="D7" s="34" t="s">
        <v>78</v>
      </c>
      <c r="E7" s="33" t="s">
        <v>88</v>
      </c>
    </row>
    <row r="8" spans="2:5" ht="19" x14ac:dyDescent="0.25">
      <c r="B8" s="67"/>
      <c r="C8" s="46" t="s">
        <v>72</v>
      </c>
      <c r="D8" s="44" t="s">
        <v>74</v>
      </c>
      <c r="E8" s="45" t="s">
        <v>93</v>
      </c>
    </row>
    <row r="9" spans="2:5" x14ac:dyDescent="0.2">
      <c r="B9" s="67"/>
      <c r="C9" s="65" t="s">
        <v>73</v>
      </c>
      <c r="D9" s="36" t="s">
        <v>80</v>
      </c>
      <c r="E9" s="41" t="s">
        <v>91</v>
      </c>
    </row>
    <row r="10" spans="2:5" x14ac:dyDescent="0.2">
      <c r="B10" s="67"/>
      <c r="C10" s="65"/>
      <c r="D10" s="36" t="s">
        <v>81</v>
      </c>
      <c r="E10" s="41" t="s">
        <v>94</v>
      </c>
    </row>
    <row r="11" spans="2:5" ht="20" thickBot="1" x14ac:dyDescent="0.3">
      <c r="B11" s="68"/>
      <c r="C11" s="47" t="s">
        <v>83</v>
      </c>
      <c r="D11" s="42" t="s">
        <v>82</v>
      </c>
      <c r="E11" s="43" t="s">
        <v>92</v>
      </c>
    </row>
    <row r="12" spans="2:5" ht="16" thickBot="1" x14ac:dyDescent="0.25"/>
    <row r="13" spans="2:5" x14ac:dyDescent="0.2">
      <c r="B13" s="57" t="s">
        <v>99</v>
      </c>
      <c r="C13" s="58"/>
      <c r="D13" s="37" t="s">
        <v>84</v>
      </c>
      <c r="E13" s="29" t="s">
        <v>97</v>
      </c>
    </row>
    <row r="14" spans="2:5" x14ac:dyDescent="0.2">
      <c r="B14" s="59"/>
      <c r="C14" s="60"/>
      <c r="D14" s="28" t="s">
        <v>77</v>
      </c>
      <c r="E14" s="30" t="s">
        <v>95</v>
      </c>
    </row>
    <row r="15" spans="2:5" ht="16" thickBot="1" x14ac:dyDescent="0.25">
      <c r="B15" s="61"/>
      <c r="C15" s="62"/>
      <c r="D15" s="38" t="s">
        <v>87</v>
      </c>
      <c r="E15" s="31" t="s">
        <v>96</v>
      </c>
    </row>
  </sheetData>
  <mergeCells count="4">
    <mergeCell ref="B13:C15"/>
    <mergeCell ref="C4:C7"/>
    <mergeCell ref="C9:C10"/>
    <mergeCell ref="B4:B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4643B24AD08459F98A3278887E498" ma:contentTypeVersion="14" ma:contentTypeDescription="Create a new document." ma:contentTypeScope="" ma:versionID="eb38e4792c1ce377ab7821bb3d274f47">
  <xsd:schema xmlns:xsd="http://www.w3.org/2001/XMLSchema" xmlns:xs="http://www.w3.org/2001/XMLSchema" xmlns:p="http://schemas.microsoft.com/office/2006/metadata/properties" xmlns:ns3="23bbefd1-47a2-4060-aafd-c643504b6bc5" xmlns:ns4="6d5d1e88-ad4d-446b-bcde-995bd037781b" targetNamespace="http://schemas.microsoft.com/office/2006/metadata/properties" ma:root="true" ma:fieldsID="e12b447452da57a1b4c0e5a2ab86e063" ns3:_="" ns4:_="">
    <xsd:import namespace="23bbefd1-47a2-4060-aafd-c643504b6bc5"/>
    <xsd:import namespace="6d5d1e88-ad4d-446b-bcde-995bd037781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bbefd1-47a2-4060-aafd-c643504b6bc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Location" ma:index="12" nillable="true" ma:displayName="MediaServiceLocation" ma:descrip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d5d1e88-ad4d-446b-bcde-995bd037781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D9583FA-3C6D-4AEB-A1D5-BCE042DF0D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bbefd1-47a2-4060-aafd-c643504b6bc5"/>
    <ds:schemaRef ds:uri="6d5d1e88-ad4d-446b-bcde-995bd03778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C9A5A1-95DE-4378-B416-21401FAD0FE9}">
  <ds:schemaRefs>
    <ds:schemaRef ds:uri="http://schemas.microsoft.com/sharepoint/v3/contenttype/forms"/>
  </ds:schemaRefs>
</ds:datastoreItem>
</file>

<file path=customXml/itemProps3.xml><?xml version="1.0" encoding="utf-8"?>
<ds:datastoreItem xmlns:ds="http://schemas.openxmlformats.org/officeDocument/2006/customXml" ds:itemID="{35A8A270-8801-4309-950C-6E919B172AD8}">
  <ds:schemaRefs>
    <ds:schemaRef ds:uri="http://schemas.microsoft.com/office/2006/metadata/properties"/>
    <ds:schemaRef ds:uri="http://schemas.microsoft.com/office/infopath/2007/PartnerControls"/>
    <ds:schemaRef ds:uri="http://purl.org/dc/elements/1.1/"/>
    <ds:schemaRef ds:uri="http://schemas.microsoft.com/office/2006/documentManagement/types"/>
    <ds:schemaRef ds:uri="http://purl.org/dc/dcmitype/"/>
    <ds:schemaRef ds:uri="http://www.w3.org/XML/1998/namespace"/>
    <ds:schemaRef ds:uri="http://schemas.openxmlformats.org/package/2006/metadata/core-properties"/>
    <ds:schemaRef ds:uri="6d5d1e88-ad4d-446b-bcde-995bd037781b"/>
    <ds:schemaRef ds:uri="23bbefd1-47a2-4060-aafd-c643504b6bc5"/>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Actions</vt:lpstr>
      <vt:lpstr>Attendees</vt:lpstr>
      <vt:lpstr>Attendees_</vt:lpstr>
      <vt:lpstr>Actions!Print_Titles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Rutz</dc:creator>
  <cp:lastModifiedBy>Mark DeLuzio</cp:lastModifiedBy>
  <cp:lastPrinted>2021-09-02T14:50:14Z</cp:lastPrinted>
  <dcterms:created xsi:type="dcterms:W3CDTF">2021-09-02T12:11:53Z</dcterms:created>
  <dcterms:modified xsi:type="dcterms:W3CDTF">2026-04-15T11:22:51Z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0x010100F3C4643B24AD08459F98A3278887E498</vt:lpwstr>
  </property>
</Properties>
</file>